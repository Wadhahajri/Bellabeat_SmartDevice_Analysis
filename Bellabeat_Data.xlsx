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f66b01f52b9e5bd6/Desktop/"/>
    </mc:Choice>
  </mc:AlternateContent>
  <xr:revisionPtr revIDLastSave="10" documentId="8_{914F2362-2D61-48B1-B8A9-11D43287EBA2}" xr6:coauthVersionLast="47" xr6:coauthVersionMax="47" xr10:uidLastSave="{2B010F6A-262A-47C7-8061-5B1C7DFB2399}"/>
  <bookViews>
    <workbookView xWindow="-98" yWindow="-98" windowWidth="21795" windowHeight="13875" firstSheet="1" activeTab="3" xr2:uid="{D5BC979C-5760-4569-B050-3D836D8340AA}"/>
  </bookViews>
  <sheets>
    <sheet name="dailyActivity_merged" sheetId="1" r:id="rId1"/>
    <sheet name="dailyActivity" sheetId="3" r:id="rId2"/>
    <sheet name="Analysis" sheetId="5" r:id="rId3"/>
    <sheet name="Analysis Summary" sheetId="6" r:id="rId4"/>
    <sheet name="Dashboard" sheetId="7" r:id="rId5"/>
  </sheets>
  <externalReferences>
    <externalReference r:id="rId6"/>
  </externalReferences>
  <definedNames>
    <definedName name="_xlnm._FilterDatabase" localSheetId="2" hidden="1">Analysis!$A$1:$P$458</definedName>
    <definedName name="_xlchart.v1.0" hidden="1">Analysis!$C$2:$C$458</definedName>
    <definedName name="_xlchart.v1.1" hidden="1">Analysis!$C$2:$C$458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6" l="1"/>
  <c r="B83" i="6"/>
  <c r="B82" i="6"/>
  <c r="B81" i="6"/>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2"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B10" i="6"/>
  <c r="B20" i="6"/>
  <c r="B19" i="6"/>
  <c r="B13" i="6"/>
  <c r="B12" i="6"/>
  <c r="B9" i="6"/>
  <c r="B8" i="6"/>
  <c r="B7" i="6"/>
  <c r="P458" i="5" a="1"/>
  <c r="P458" i="5" s="1"/>
  <c r="P457" i="5" a="1"/>
  <c r="P457" i="5" s="1"/>
  <c r="P456" i="5" a="1"/>
  <c r="P456" i="5" s="1"/>
  <c r="P455" i="5" a="1"/>
  <c r="P455" i="5" s="1"/>
  <c r="P454" i="5" a="1"/>
  <c r="P454" i="5" s="1"/>
  <c r="P453" i="5" a="1"/>
  <c r="P453" i="5" s="1"/>
  <c r="P452" i="5" a="1"/>
  <c r="P452" i="5" s="1"/>
  <c r="P451" i="5" a="1"/>
  <c r="P451" i="5" s="1"/>
  <c r="P450" i="5" a="1"/>
  <c r="P450" i="5" s="1"/>
  <c r="P449" i="5" a="1"/>
  <c r="P449" i="5" s="1"/>
  <c r="P448" i="5" a="1"/>
  <c r="P448" i="5" s="1"/>
  <c r="P447" i="5" a="1"/>
  <c r="P447" i="5" s="1"/>
  <c r="P446" i="5" a="1"/>
  <c r="P446" i="5" s="1"/>
  <c r="P445" i="5" a="1"/>
  <c r="P445" i="5" s="1"/>
  <c r="P444" i="5" a="1"/>
  <c r="P444" i="5" s="1"/>
  <c r="P443" i="5" a="1"/>
  <c r="P443" i="5" s="1"/>
  <c r="P442" i="5" a="1"/>
  <c r="P442" i="5" s="1"/>
  <c r="P441" i="5" a="1"/>
  <c r="P441" i="5" s="1"/>
  <c r="P440" i="5" a="1"/>
  <c r="P440" i="5" s="1"/>
  <c r="P439" i="5" a="1"/>
  <c r="P439" i="5" s="1"/>
  <c r="P438" i="5" a="1"/>
  <c r="P438" i="5" s="1"/>
  <c r="P437" i="5" a="1"/>
  <c r="P437" i="5" s="1"/>
  <c r="P436" i="5" a="1"/>
  <c r="P436" i="5" s="1"/>
  <c r="P435" i="5" a="1"/>
  <c r="P435" i="5" s="1"/>
  <c r="P434" i="5" a="1"/>
  <c r="P434" i="5" s="1"/>
  <c r="P433" i="5" a="1"/>
  <c r="P433" i="5" s="1"/>
  <c r="P432" i="5" a="1"/>
  <c r="P432" i="5" s="1"/>
  <c r="P431" i="5" a="1"/>
  <c r="P431" i="5" s="1"/>
  <c r="P430" i="5" a="1"/>
  <c r="P430" i="5" s="1"/>
  <c r="P429" i="5" a="1"/>
  <c r="P429" i="5" s="1"/>
  <c r="P428" i="5" a="1"/>
  <c r="P428" i="5" s="1"/>
  <c r="P427" i="5" a="1"/>
  <c r="P427" i="5" s="1"/>
  <c r="P426" i="5" a="1"/>
  <c r="P426" i="5" s="1"/>
  <c r="P425" i="5" a="1"/>
  <c r="P425" i="5" s="1"/>
  <c r="P424" i="5" a="1"/>
  <c r="P424" i="5" s="1"/>
  <c r="P423" i="5" a="1"/>
  <c r="P423" i="5" s="1"/>
  <c r="P422" i="5" a="1"/>
  <c r="P422" i="5" s="1"/>
  <c r="P421" i="5" a="1"/>
  <c r="P421" i="5" s="1"/>
  <c r="P420" i="5" a="1"/>
  <c r="P420" i="5" s="1"/>
  <c r="P419" i="5" a="1"/>
  <c r="P419" i="5" s="1"/>
  <c r="P418" i="5" a="1"/>
  <c r="P418" i="5" s="1"/>
  <c r="P417" i="5" a="1"/>
  <c r="P417" i="5" s="1"/>
  <c r="P416" i="5" a="1"/>
  <c r="P416" i="5" s="1"/>
  <c r="P415" i="5" a="1"/>
  <c r="P415" i="5" s="1"/>
  <c r="P414" i="5" a="1"/>
  <c r="P414" i="5" s="1"/>
  <c r="P413" i="5" a="1"/>
  <c r="P413" i="5" s="1"/>
  <c r="P412" i="5" a="1"/>
  <c r="P412" i="5" s="1"/>
  <c r="P411" i="5" a="1"/>
  <c r="P411" i="5" s="1"/>
  <c r="P410" i="5" a="1"/>
  <c r="P410" i="5" s="1"/>
  <c r="P409" i="5" a="1"/>
  <c r="P409" i="5" s="1"/>
  <c r="P408" i="5" a="1"/>
  <c r="P408" i="5" s="1"/>
  <c r="P407" i="5" a="1"/>
  <c r="P407" i="5" s="1"/>
  <c r="P406" i="5" a="1"/>
  <c r="P406" i="5" s="1"/>
  <c r="P405" i="5" a="1"/>
  <c r="P405" i="5" s="1"/>
  <c r="P404" i="5" a="1"/>
  <c r="P404" i="5" s="1"/>
  <c r="P403" i="5" a="1"/>
  <c r="P403" i="5" s="1"/>
  <c r="P402" i="5" a="1"/>
  <c r="P402" i="5" s="1"/>
  <c r="P401" i="5" a="1"/>
  <c r="P401" i="5" s="1"/>
  <c r="P400" i="5" a="1"/>
  <c r="P400" i="5" s="1"/>
  <c r="P399" i="5" a="1"/>
  <c r="P399" i="5" s="1"/>
  <c r="P398" i="5" a="1"/>
  <c r="P398" i="5" s="1"/>
  <c r="P397" i="5" a="1"/>
  <c r="P397" i="5" s="1"/>
  <c r="P396" i="5" a="1"/>
  <c r="P396" i="5" s="1"/>
  <c r="P395" i="5" a="1"/>
  <c r="P395" i="5" s="1"/>
  <c r="P394" i="5" a="1"/>
  <c r="P394" i="5" s="1"/>
  <c r="P393" i="5" a="1"/>
  <c r="P393" i="5" s="1"/>
  <c r="P392" i="5" a="1"/>
  <c r="P392" i="5" s="1"/>
  <c r="P391" i="5" a="1"/>
  <c r="P391" i="5" s="1"/>
  <c r="P390" i="5" a="1"/>
  <c r="P390" i="5" s="1"/>
  <c r="P389" i="5" a="1"/>
  <c r="P389" i="5" s="1"/>
  <c r="P388" i="5" a="1"/>
  <c r="P388" i="5" s="1"/>
  <c r="P387" i="5" a="1"/>
  <c r="P387" i="5" s="1"/>
  <c r="P386" i="5" a="1"/>
  <c r="P386" i="5" s="1"/>
  <c r="P385" i="5" a="1"/>
  <c r="P385" i="5" s="1"/>
  <c r="P384" i="5" a="1"/>
  <c r="P384" i="5" s="1"/>
  <c r="P383" i="5" a="1"/>
  <c r="P383" i="5" s="1"/>
  <c r="P382" i="5" a="1"/>
  <c r="P382" i="5" s="1"/>
  <c r="P381" i="5" a="1"/>
  <c r="P381" i="5" s="1"/>
  <c r="P380" i="5" a="1"/>
  <c r="P380" i="5" s="1"/>
  <c r="P379" i="5" a="1"/>
  <c r="P379" i="5" s="1"/>
  <c r="P378" i="5" a="1"/>
  <c r="P378" i="5" s="1"/>
  <c r="P377" i="5" a="1"/>
  <c r="P377" i="5" s="1"/>
  <c r="P376" i="5" a="1"/>
  <c r="P376" i="5" s="1"/>
  <c r="P375" i="5" a="1"/>
  <c r="P375" i="5" s="1"/>
  <c r="P374" i="5" a="1"/>
  <c r="P374" i="5" s="1"/>
  <c r="P373" i="5" a="1"/>
  <c r="P373" i="5" s="1"/>
  <c r="P372" i="5" a="1"/>
  <c r="P372" i="5" s="1"/>
  <c r="P371" i="5" a="1"/>
  <c r="P371" i="5" s="1"/>
  <c r="P370" i="5" a="1"/>
  <c r="P370" i="5" s="1"/>
  <c r="P369" i="5" a="1"/>
  <c r="P369" i="5" s="1"/>
  <c r="P368" i="5" a="1"/>
  <c r="P368" i="5" s="1"/>
  <c r="P367" i="5" a="1"/>
  <c r="P367" i="5" s="1"/>
  <c r="P366" i="5" a="1"/>
  <c r="P366" i="5" s="1"/>
  <c r="P365" i="5" a="1"/>
  <c r="P365" i="5" s="1"/>
  <c r="P364" i="5" a="1"/>
  <c r="P364" i="5" s="1"/>
  <c r="P363" i="5" a="1"/>
  <c r="P363" i="5" s="1"/>
  <c r="P362" i="5" a="1"/>
  <c r="P362" i="5" s="1"/>
  <c r="P361" i="5" a="1"/>
  <c r="P361" i="5" s="1"/>
  <c r="P360" i="5" a="1"/>
  <c r="P360" i="5" s="1"/>
  <c r="P359" i="5" a="1"/>
  <c r="P359" i="5" s="1"/>
  <c r="P358" i="5" a="1"/>
  <c r="P358" i="5" s="1"/>
  <c r="P357" i="5" a="1"/>
  <c r="P357" i="5" s="1"/>
  <c r="P356" i="5" a="1"/>
  <c r="P356" i="5" s="1"/>
  <c r="P355" i="5" a="1"/>
  <c r="P355" i="5" s="1"/>
  <c r="P354" i="5" a="1"/>
  <c r="P354" i="5" s="1"/>
  <c r="P353" i="5" a="1"/>
  <c r="P353" i="5" s="1"/>
  <c r="P352" i="5" a="1"/>
  <c r="P352" i="5" s="1"/>
  <c r="P351" i="5" a="1"/>
  <c r="P351" i="5" s="1"/>
  <c r="P350" i="5" a="1"/>
  <c r="P350" i="5" s="1"/>
  <c r="P349" i="5" a="1"/>
  <c r="P349" i="5" s="1"/>
  <c r="P348" i="5" a="1"/>
  <c r="P348" i="5" s="1"/>
  <c r="P347" i="5" a="1"/>
  <c r="P347" i="5" s="1"/>
  <c r="P346" i="5" a="1"/>
  <c r="P346" i="5" s="1"/>
  <c r="P345" i="5" a="1"/>
  <c r="P345" i="5" s="1"/>
  <c r="P344" i="5" a="1"/>
  <c r="P344" i="5" s="1"/>
  <c r="P343" i="5" a="1"/>
  <c r="P343" i="5" s="1"/>
  <c r="P342" i="5" a="1"/>
  <c r="P342" i="5" s="1"/>
  <c r="P341" i="5" a="1"/>
  <c r="P341" i="5" s="1"/>
  <c r="P340" i="5" a="1"/>
  <c r="P340" i="5" s="1"/>
  <c r="P339" i="5" a="1"/>
  <c r="P339" i="5" s="1"/>
  <c r="P338" i="5" a="1"/>
  <c r="P338" i="5" s="1"/>
  <c r="P337" i="5" a="1"/>
  <c r="P337" i="5" s="1"/>
  <c r="P336" i="5" a="1"/>
  <c r="P336" i="5" s="1"/>
  <c r="P335" i="5" a="1"/>
  <c r="P335" i="5" s="1"/>
  <c r="P334" i="5" a="1"/>
  <c r="P334" i="5" s="1"/>
  <c r="P333" i="5" a="1"/>
  <c r="P333" i="5" s="1"/>
  <c r="P332" i="5" a="1"/>
  <c r="P332" i="5" s="1"/>
  <c r="P331" i="5" a="1"/>
  <c r="P331" i="5" s="1"/>
  <c r="P330" i="5" a="1"/>
  <c r="P330" i="5" s="1"/>
  <c r="P329" i="5" a="1"/>
  <c r="P329" i="5" s="1"/>
  <c r="P328" i="5" a="1"/>
  <c r="P328" i="5" s="1"/>
  <c r="P327" i="5" a="1"/>
  <c r="P327" i="5" s="1"/>
  <c r="P326" i="5" a="1"/>
  <c r="P326" i="5" s="1"/>
  <c r="P325" i="5" a="1"/>
  <c r="P325" i="5" s="1"/>
  <c r="P324" i="5" a="1"/>
  <c r="P324" i="5" s="1"/>
  <c r="P323" i="5" a="1"/>
  <c r="P323" i="5" s="1"/>
  <c r="P322" i="5" a="1"/>
  <c r="P322" i="5" s="1"/>
  <c r="P321" i="5" a="1"/>
  <c r="P321" i="5" s="1"/>
  <c r="P320" i="5" a="1"/>
  <c r="P320" i="5" s="1"/>
  <c r="P319" i="5" a="1"/>
  <c r="P319" i="5" s="1"/>
  <c r="P318" i="5" a="1"/>
  <c r="P318" i="5" s="1"/>
  <c r="P317" i="5" a="1"/>
  <c r="P317" i="5" s="1"/>
  <c r="P316" i="5" a="1"/>
  <c r="P316" i="5" s="1"/>
  <c r="P315" i="5" a="1"/>
  <c r="P315" i="5" s="1"/>
  <c r="P314" i="5" a="1"/>
  <c r="P314" i="5" s="1"/>
  <c r="P313" i="5" a="1"/>
  <c r="P313" i="5" s="1"/>
  <c r="P312" i="5" a="1"/>
  <c r="P312" i="5" s="1"/>
  <c r="P311" i="5" a="1"/>
  <c r="P311" i="5" s="1"/>
  <c r="P310" i="5" a="1"/>
  <c r="P310" i="5" s="1"/>
  <c r="P309" i="5" a="1"/>
  <c r="P309" i="5" s="1"/>
  <c r="P308" i="5" a="1"/>
  <c r="P308" i="5" s="1"/>
  <c r="P307" i="5" a="1"/>
  <c r="P307" i="5" s="1"/>
  <c r="P306" i="5" a="1"/>
  <c r="P306" i="5" s="1"/>
  <c r="P305" i="5" a="1"/>
  <c r="P305" i="5" s="1"/>
  <c r="P304" i="5" a="1"/>
  <c r="P304" i="5" s="1"/>
  <c r="P303" i="5" a="1"/>
  <c r="P303" i="5" s="1"/>
  <c r="P302" i="5" a="1"/>
  <c r="P302" i="5" s="1"/>
  <c r="P301" i="5" a="1"/>
  <c r="P301" i="5" s="1"/>
  <c r="P300" i="5" a="1"/>
  <c r="P300" i="5" s="1"/>
  <c r="P299" i="5" a="1"/>
  <c r="P299" i="5" s="1"/>
  <c r="P298" i="5" a="1"/>
  <c r="P298" i="5" s="1"/>
  <c r="P297" i="5" a="1"/>
  <c r="P297" i="5" s="1"/>
  <c r="P296" i="5" a="1"/>
  <c r="P296" i="5" s="1"/>
  <c r="P295" i="5" a="1"/>
  <c r="P295" i="5" s="1"/>
  <c r="P294" i="5" a="1"/>
  <c r="P294" i="5" s="1"/>
  <c r="P293" i="5" a="1"/>
  <c r="P293" i="5" s="1"/>
  <c r="P292" i="5" a="1"/>
  <c r="P292" i="5" s="1"/>
  <c r="P291" i="5" a="1"/>
  <c r="P291" i="5" s="1"/>
  <c r="P290" i="5" a="1"/>
  <c r="P290" i="5" s="1"/>
  <c r="P289" i="5" a="1"/>
  <c r="P289" i="5" s="1"/>
  <c r="P288" i="5" a="1"/>
  <c r="P288" i="5" s="1"/>
  <c r="P287" i="5" a="1"/>
  <c r="P287" i="5" s="1"/>
  <c r="P286" i="5" a="1"/>
  <c r="P286" i="5" s="1"/>
  <c r="P285" i="5" a="1"/>
  <c r="P285" i="5" s="1"/>
  <c r="P284" i="5" a="1"/>
  <c r="P284" i="5" s="1"/>
  <c r="P283" i="5" a="1"/>
  <c r="P283" i="5" s="1"/>
  <c r="P282" i="5" a="1"/>
  <c r="P282" i="5" s="1"/>
  <c r="P281" i="5" a="1"/>
  <c r="P281" i="5" s="1"/>
  <c r="P280" i="5" a="1"/>
  <c r="P280" i="5" s="1"/>
  <c r="P279" i="5" a="1"/>
  <c r="P279" i="5" s="1"/>
  <c r="P278" i="5" a="1"/>
  <c r="P278" i="5" s="1"/>
  <c r="P277" i="5" a="1"/>
  <c r="P277" i="5" s="1"/>
  <c r="P276" i="5" a="1"/>
  <c r="P276" i="5" s="1"/>
  <c r="P275" i="5" a="1"/>
  <c r="P275" i="5" s="1"/>
  <c r="P274" i="5" a="1"/>
  <c r="P274" i="5" s="1"/>
  <c r="P273" i="5" a="1"/>
  <c r="P273" i="5" s="1"/>
  <c r="P272" i="5" a="1"/>
  <c r="P272" i="5" s="1"/>
  <c r="P271" i="5" a="1"/>
  <c r="P271" i="5" s="1"/>
  <c r="P270" i="5" a="1"/>
  <c r="P270" i="5" s="1"/>
  <c r="P269" i="5" a="1"/>
  <c r="P269" i="5" s="1"/>
  <c r="P268" i="5" a="1"/>
  <c r="P268" i="5" s="1"/>
  <c r="P267" i="5" a="1"/>
  <c r="P267" i="5" s="1"/>
  <c r="P266" i="5" a="1"/>
  <c r="P266" i="5" s="1"/>
  <c r="P265" i="5" a="1"/>
  <c r="P265" i="5" s="1"/>
  <c r="P264" i="5" a="1"/>
  <c r="P264" i="5" s="1"/>
  <c r="P263" i="5" a="1"/>
  <c r="P263" i="5" s="1"/>
  <c r="P262" i="5" a="1"/>
  <c r="P262" i="5" s="1"/>
  <c r="P261" i="5" a="1"/>
  <c r="P261" i="5" s="1"/>
  <c r="P260" i="5" a="1"/>
  <c r="P260" i="5" s="1"/>
  <c r="P259" i="5" a="1"/>
  <c r="P259" i="5" s="1"/>
  <c r="P258" i="5" a="1"/>
  <c r="P258" i="5" s="1"/>
  <c r="P257" i="5" a="1"/>
  <c r="P257" i="5" s="1"/>
  <c r="P256" i="5" a="1"/>
  <c r="P256" i="5" s="1"/>
  <c r="P255" i="5" a="1"/>
  <c r="P255" i="5" s="1"/>
  <c r="P254" i="5" a="1"/>
  <c r="P254" i="5" s="1"/>
  <c r="P253" i="5" a="1"/>
  <c r="P253" i="5" s="1"/>
  <c r="P252" i="5" a="1"/>
  <c r="P252" i="5" s="1"/>
  <c r="P251" i="5" a="1"/>
  <c r="P251" i="5" s="1"/>
  <c r="P250" i="5" a="1"/>
  <c r="P250" i="5" s="1"/>
  <c r="P249" i="5" a="1"/>
  <c r="P249" i="5" s="1"/>
  <c r="P248" i="5" a="1"/>
  <c r="P248" i="5" s="1"/>
  <c r="P247" i="5" a="1"/>
  <c r="P247" i="5" s="1"/>
  <c r="P246" i="5" a="1"/>
  <c r="P246" i="5" s="1"/>
  <c r="P245" i="5" a="1"/>
  <c r="P245" i="5" s="1"/>
  <c r="P244" i="5" a="1"/>
  <c r="P244" i="5" s="1"/>
  <c r="P243" i="5" a="1"/>
  <c r="P243" i="5" s="1"/>
  <c r="P242" i="5" a="1"/>
  <c r="P242" i="5" s="1"/>
  <c r="P241" i="5" a="1"/>
  <c r="P241" i="5" s="1"/>
  <c r="P240" i="5" a="1"/>
  <c r="P240" i="5" s="1"/>
  <c r="P239" i="5" a="1"/>
  <c r="P239" i="5" s="1"/>
  <c r="P238" i="5" a="1"/>
  <c r="P238" i="5" s="1"/>
  <c r="P237" i="5" a="1"/>
  <c r="P237" i="5" s="1"/>
  <c r="P236" i="5" a="1"/>
  <c r="P236" i="5" s="1"/>
  <c r="P235" i="5" a="1"/>
  <c r="P235" i="5" s="1"/>
  <c r="P234" i="5" a="1"/>
  <c r="P234" i="5" s="1"/>
  <c r="P233" i="5" a="1"/>
  <c r="P233" i="5" s="1"/>
  <c r="P232" i="5" a="1"/>
  <c r="P232" i="5" s="1"/>
  <c r="P231" i="5" a="1"/>
  <c r="P231" i="5" s="1"/>
  <c r="P230" i="5" a="1"/>
  <c r="P230" i="5" s="1"/>
  <c r="P229" i="5" a="1"/>
  <c r="P229" i="5" s="1"/>
  <c r="P228" i="5" a="1"/>
  <c r="P228" i="5" s="1"/>
  <c r="P227" i="5" a="1"/>
  <c r="P227" i="5" s="1"/>
  <c r="P226" i="5" a="1"/>
  <c r="P226" i="5" s="1"/>
  <c r="P225" i="5" a="1"/>
  <c r="P225" i="5" s="1"/>
  <c r="P224" i="5" a="1"/>
  <c r="P224" i="5" s="1"/>
  <c r="P223" i="5" a="1"/>
  <c r="P223" i="5" s="1"/>
  <c r="P222" i="5" a="1"/>
  <c r="P222" i="5" s="1"/>
  <c r="P221" i="5" a="1"/>
  <c r="P221" i="5" s="1"/>
  <c r="P220" i="5" a="1"/>
  <c r="P220" i="5" s="1"/>
  <c r="P219" i="5" a="1"/>
  <c r="P219" i="5" s="1"/>
  <c r="P218" i="5" a="1"/>
  <c r="P218" i="5" s="1"/>
  <c r="P217" i="5" a="1"/>
  <c r="P217" i="5" s="1"/>
  <c r="P216" i="5" a="1"/>
  <c r="P216" i="5" s="1"/>
  <c r="P215" i="5" a="1"/>
  <c r="P215" i="5" s="1"/>
  <c r="P214" i="5" a="1"/>
  <c r="P214" i="5" s="1"/>
  <c r="P213" i="5" a="1"/>
  <c r="P213" i="5" s="1"/>
  <c r="P212" i="5" a="1"/>
  <c r="P212" i="5" s="1"/>
  <c r="P211" i="5" a="1"/>
  <c r="P211" i="5" s="1"/>
  <c r="P210" i="5" a="1"/>
  <c r="P210" i="5" s="1"/>
  <c r="P209" i="5" a="1"/>
  <c r="P209" i="5" s="1"/>
  <c r="P208" i="5" a="1"/>
  <c r="P208" i="5" s="1"/>
  <c r="P207" i="5" a="1"/>
  <c r="P207" i="5" s="1"/>
  <c r="P206" i="5" a="1"/>
  <c r="P206" i="5" s="1"/>
  <c r="P205" i="5" a="1"/>
  <c r="P205" i="5" s="1"/>
  <c r="P204" i="5" a="1"/>
  <c r="P204" i="5" s="1"/>
  <c r="P203" i="5" a="1"/>
  <c r="P203" i="5" s="1"/>
  <c r="P202" i="5" a="1"/>
  <c r="P202" i="5" s="1"/>
  <c r="P201" i="5" a="1"/>
  <c r="P201" i="5" s="1"/>
  <c r="P200" i="5" a="1"/>
  <c r="P200" i="5" s="1"/>
  <c r="P199" i="5" a="1"/>
  <c r="P199" i="5" s="1"/>
  <c r="P198" i="5" a="1"/>
  <c r="P198" i="5" s="1"/>
  <c r="P197" i="5" a="1"/>
  <c r="P197" i="5" s="1"/>
  <c r="P196" i="5" a="1"/>
  <c r="P196" i="5" s="1"/>
  <c r="P195" i="5" a="1"/>
  <c r="P195" i="5" s="1"/>
  <c r="P194" i="5" a="1"/>
  <c r="P194" i="5" s="1"/>
  <c r="P193" i="5" a="1"/>
  <c r="P193" i="5" s="1"/>
  <c r="P192" i="5" a="1"/>
  <c r="P192" i="5" s="1"/>
  <c r="P191" i="5" a="1"/>
  <c r="P191" i="5" s="1"/>
  <c r="P190" i="5" a="1"/>
  <c r="P190" i="5" s="1"/>
  <c r="P189" i="5" a="1"/>
  <c r="P189" i="5" s="1"/>
  <c r="P188" i="5" a="1"/>
  <c r="P188" i="5" s="1"/>
  <c r="P187" i="5" a="1"/>
  <c r="P187" i="5" s="1"/>
  <c r="P186" i="5" a="1"/>
  <c r="P186" i="5" s="1"/>
  <c r="P185" i="5" a="1"/>
  <c r="P185" i="5" s="1"/>
  <c r="P184" i="5" a="1"/>
  <c r="P184" i="5" s="1"/>
  <c r="P183" i="5" a="1"/>
  <c r="P183" i="5" s="1"/>
  <c r="P182" i="5" a="1"/>
  <c r="P182" i="5" s="1"/>
  <c r="P181" i="5" a="1"/>
  <c r="P181" i="5" s="1"/>
  <c r="P180" i="5" a="1"/>
  <c r="P180" i="5" s="1"/>
  <c r="P179" i="5" a="1"/>
  <c r="P179" i="5" s="1"/>
  <c r="P178" i="5" a="1"/>
  <c r="P178" i="5" s="1"/>
  <c r="P177" i="5" a="1"/>
  <c r="P177" i="5" s="1"/>
  <c r="P176" i="5" a="1"/>
  <c r="P176" i="5" s="1"/>
  <c r="P175" i="5" a="1"/>
  <c r="P175" i="5" s="1"/>
  <c r="P174" i="5" a="1"/>
  <c r="P174" i="5" s="1"/>
  <c r="P173" i="5" a="1"/>
  <c r="P173" i="5" s="1"/>
  <c r="P172" i="5" a="1"/>
  <c r="P172" i="5" s="1"/>
  <c r="P171" i="5" a="1"/>
  <c r="P171" i="5" s="1"/>
  <c r="P170" i="5" a="1"/>
  <c r="P170" i="5" s="1"/>
  <c r="P169" i="5" a="1"/>
  <c r="P169" i="5" s="1"/>
  <c r="P168" i="5" a="1"/>
  <c r="P168" i="5" s="1"/>
  <c r="P167" i="5" a="1"/>
  <c r="P167" i="5" s="1"/>
  <c r="P166" i="5" a="1"/>
  <c r="P166" i="5" s="1"/>
  <c r="P165" i="5" a="1"/>
  <c r="P165" i="5" s="1"/>
  <c r="P164" i="5" a="1"/>
  <c r="P164" i="5" s="1"/>
  <c r="P163" i="5" a="1"/>
  <c r="P163" i="5" s="1"/>
  <c r="P162" i="5" a="1"/>
  <c r="P162" i="5" s="1"/>
  <c r="P161" i="5" a="1"/>
  <c r="P161" i="5" s="1"/>
  <c r="P160" i="5" a="1"/>
  <c r="P160" i="5" s="1"/>
  <c r="P159" i="5" a="1"/>
  <c r="P159" i="5" s="1"/>
  <c r="P158" i="5" a="1"/>
  <c r="P158" i="5" s="1"/>
  <c r="P157" i="5" a="1"/>
  <c r="P157" i="5" s="1"/>
  <c r="P156" i="5" a="1"/>
  <c r="P156" i="5" s="1"/>
  <c r="P155" i="5" a="1"/>
  <c r="P155" i="5" s="1"/>
  <c r="P154" i="5" a="1"/>
  <c r="P154" i="5" s="1"/>
  <c r="P153" i="5" a="1"/>
  <c r="P153" i="5" s="1"/>
  <c r="P152" i="5" a="1"/>
  <c r="P152" i="5" s="1"/>
  <c r="P151" i="5" a="1"/>
  <c r="P151" i="5" s="1"/>
  <c r="P150" i="5" a="1"/>
  <c r="P150" i="5" s="1"/>
  <c r="P149" i="5" a="1"/>
  <c r="P149" i="5" s="1"/>
  <c r="P148" i="5" a="1"/>
  <c r="P148" i="5" s="1"/>
  <c r="P147" i="5" a="1"/>
  <c r="P147" i="5" s="1"/>
  <c r="P146" i="5" a="1"/>
  <c r="P146" i="5" s="1"/>
  <c r="P145" i="5" a="1"/>
  <c r="P145" i="5" s="1"/>
  <c r="P144" i="5" a="1"/>
  <c r="P144" i="5" s="1"/>
  <c r="P143" i="5" a="1"/>
  <c r="P143" i="5" s="1"/>
  <c r="P142" i="5" a="1"/>
  <c r="P142" i="5" s="1"/>
  <c r="P141" i="5" a="1"/>
  <c r="P141" i="5" s="1"/>
  <c r="P140" i="5" a="1"/>
  <c r="P140" i="5" s="1"/>
  <c r="P139" i="5" a="1"/>
  <c r="P139" i="5" s="1"/>
  <c r="P138" i="5" a="1"/>
  <c r="P138" i="5" s="1"/>
  <c r="P137" i="5" a="1"/>
  <c r="P137" i="5" s="1"/>
  <c r="P136" i="5" a="1"/>
  <c r="P136" i="5" s="1"/>
  <c r="P135" i="5" a="1"/>
  <c r="P135" i="5" s="1"/>
  <c r="P134" i="5" a="1"/>
  <c r="P134" i="5" s="1"/>
  <c r="P133" i="5" a="1"/>
  <c r="P133" i="5" s="1"/>
  <c r="P132" i="5" a="1"/>
  <c r="P132" i="5" s="1"/>
  <c r="P131" i="5" a="1"/>
  <c r="P131" i="5" s="1"/>
  <c r="P130" i="5" a="1"/>
  <c r="P130" i="5" s="1"/>
  <c r="P129" i="5" a="1"/>
  <c r="P129" i="5" s="1"/>
  <c r="P128" i="5" a="1"/>
  <c r="P128" i="5" s="1"/>
  <c r="P127" i="5" a="1"/>
  <c r="P127" i="5" s="1"/>
  <c r="P126" i="5" a="1"/>
  <c r="P126" i="5" s="1"/>
  <c r="P125" i="5" a="1"/>
  <c r="P125" i="5" s="1"/>
  <c r="P124" i="5" a="1"/>
  <c r="P124" i="5" s="1"/>
  <c r="P123" i="5" a="1"/>
  <c r="P123" i="5" s="1"/>
  <c r="P122" i="5" a="1"/>
  <c r="P122" i="5" s="1"/>
  <c r="P121" i="5" a="1"/>
  <c r="P121" i="5" s="1"/>
  <c r="P120" i="5" a="1"/>
  <c r="P120" i="5" s="1"/>
  <c r="P119" i="5" a="1"/>
  <c r="P119" i="5" s="1"/>
  <c r="P118" i="5" a="1"/>
  <c r="P118" i="5" s="1"/>
  <c r="P117" i="5" a="1"/>
  <c r="P117" i="5" s="1"/>
  <c r="P116" i="5" a="1"/>
  <c r="P116" i="5" s="1"/>
  <c r="P115" i="5" a="1"/>
  <c r="P115" i="5" s="1"/>
  <c r="P114" i="5" a="1"/>
  <c r="P114" i="5" s="1"/>
  <c r="P113" i="5" a="1"/>
  <c r="P113" i="5" s="1"/>
  <c r="P112" i="5" a="1"/>
  <c r="P112" i="5" s="1"/>
  <c r="P111" i="5" a="1"/>
  <c r="P111" i="5" s="1"/>
  <c r="P110" i="5" a="1"/>
  <c r="P110" i="5" s="1"/>
  <c r="P109" i="5" a="1"/>
  <c r="P109" i="5" s="1"/>
  <c r="P108" i="5" a="1"/>
  <c r="P108" i="5" s="1"/>
  <c r="P107" i="5" a="1"/>
  <c r="P107" i="5" s="1"/>
  <c r="P106" i="5" a="1"/>
  <c r="P106" i="5" s="1"/>
  <c r="P105" i="5" a="1"/>
  <c r="P105" i="5" s="1"/>
  <c r="P104" i="5" a="1"/>
  <c r="P104" i="5" s="1"/>
  <c r="P103" i="5" a="1"/>
  <c r="P103" i="5" s="1"/>
  <c r="P102" i="5" a="1"/>
  <c r="P102" i="5" s="1"/>
  <c r="P101" i="5" a="1"/>
  <c r="P101" i="5" s="1"/>
  <c r="P100" i="5" a="1"/>
  <c r="P100" i="5" s="1"/>
  <c r="P99" i="5" a="1"/>
  <c r="P99" i="5" s="1"/>
  <c r="P98" i="5" a="1"/>
  <c r="P98" i="5" s="1"/>
  <c r="P97" i="5" a="1"/>
  <c r="P97" i="5" s="1"/>
  <c r="P96" i="5" a="1"/>
  <c r="P96" i="5" s="1"/>
  <c r="P95" i="5" a="1"/>
  <c r="P95" i="5" s="1"/>
  <c r="P94" i="5" a="1"/>
  <c r="P94" i="5" s="1"/>
  <c r="P93" i="5" a="1"/>
  <c r="P93" i="5" s="1"/>
  <c r="P92" i="5" a="1"/>
  <c r="P92" i="5" s="1"/>
  <c r="P91" i="5" a="1"/>
  <c r="P91" i="5" s="1"/>
  <c r="P90" i="5" a="1"/>
  <c r="P90" i="5" s="1"/>
  <c r="P89" i="5" a="1"/>
  <c r="P89" i="5" s="1"/>
  <c r="P88" i="5" a="1"/>
  <c r="P88" i="5" s="1"/>
  <c r="P87" i="5" a="1"/>
  <c r="P87" i="5" s="1"/>
  <c r="P86" i="5" a="1"/>
  <c r="P86" i="5" s="1"/>
  <c r="P85" i="5" a="1"/>
  <c r="P85" i="5" s="1"/>
  <c r="P84" i="5" a="1"/>
  <c r="P84" i="5" s="1"/>
  <c r="P83" i="5" a="1"/>
  <c r="P83" i="5" s="1"/>
  <c r="P82" i="5" a="1"/>
  <c r="P82" i="5" s="1"/>
  <c r="P81" i="5" a="1"/>
  <c r="P81" i="5" s="1"/>
  <c r="P80" i="5" a="1"/>
  <c r="P80" i="5" s="1"/>
  <c r="P79" i="5" a="1"/>
  <c r="P79" i="5" s="1"/>
  <c r="P78" i="5" a="1"/>
  <c r="P78" i="5" s="1"/>
  <c r="P77" i="5" a="1"/>
  <c r="P77" i="5" s="1"/>
  <c r="P76" i="5" a="1"/>
  <c r="P76" i="5" s="1"/>
  <c r="P75" i="5" a="1"/>
  <c r="P75" i="5" s="1"/>
  <c r="P74" i="5" a="1"/>
  <c r="P74" i="5" s="1"/>
  <c r="P73" i="5" a="1"/>
  <c r="P73" i="5" s="1"/>
  <c r="P72" i="5" a="1"/>
  <c r="P72" i="5" s="1"/>
  <c r="P71" i="5" a="1"/>
  <c r="P71" i="5" s="1"/>
  <c r="P70" i="5" a="1"/>
  <c r="P70" i="5" s="1"/>
  <c r="P69" i="5" a="1"/>
  <c r="P69" i="5" s="1"/>
  <c r="P68" i="5" a="1"/>
  <c r="P68" i="5" s="1"/>
  <c r="P67" i="5" a="1"/>
  <c r="P67" i="5" s="1"/>
  <c r="P66" i="5" a="1"/>
  <c r="P66" i="5" s="1"/>
  <c r="P65" i="5" a="1"/>
  <c r="P65" i="5" s="1"/>
  <c r="P64" i="5" a="1"/>
  <c r="P64" i="5" s="1"/>
  <c r="P63" i="5" a="1"/>
  <c r="P63" i="5" s="1"/>
  <c r="P62" i="5" a="1"/>
  <c r="P62" i="5" s="1"/>
  <c r="P61" i="5" a="1"/>
  <c r="P61" i="5" s="1"/>
  <c r="P60" i="5" a="1"/>
  <c r="P60" i="5" s="1"/>
  <c r="P59" i="5" a="1"/>
  <c r="P59" i="5" s="1"/>
  <c r="P58" i="5" a="1"/>
  <c r="P58" i="5" s="1"/>
  <c r="P57" i="5" a="1"/>
  <c r="P57" i="5" s="1"/>
  <c r="P56" i="5" a="1"/>
  <c r="P56" i="5" s="1"/>
  <c r="P55" i="5" a="1"/>
  <c r="P55" i="5" s="1"/>
  <c r="P54" i="5" a="1"/>
  <c r="P54" i="5" s="1"/>
  <c r="P53" i="5" a="1"/>
  <c r="P53" i="5" s="1"/>
  <c r="P52" i="5" a="1"/>
  <c r="P52" i="5" s="1"/>
  <c r="P51" i="5" a="1"/>
  <c r="P51" i="5" s="1"/>
  <c r="P50" i="5" a="1"/>
  <c r="P50" i="5" s="1"/>
  <c r="P49" i="5" a="1"/>
  <c r="P49" i="5" s="1"/>
  <c r="P48" i="5" a="1"/>
  <c r="P48" i="5" s="1"/>
  <c r="P47" i="5" a="1"/>
  <c r="P47" i="5" s="1"/>
  <c r="P46" i="5" a="1"/>
  <c r="P46" i="5" s="1"/>
  <c r="P45" i="5" a="1"/>
  <c r="P45" i="5" s="1"/>
  <c r="P44" i="5" a="1"/>
  <c r="P44" i="5" s="1"/>
  <c r="P43" i="5" a="1"/>
  <c r="P43" i="5" s="1"/>
  <c r="P42" i="5" a="1"/>
  <c r="P42" i="5" s="1"/>
  <c r="P41" i="5" a="1"/>
  <c r="P41" i="5" s="1"/>
  <c r="P40" i="5" a="1"/>
  <c r="P40" i="5" s="1"/>
  <c r="P39" i="5" a="1"/>
  <c r="P39" i="5" s="1"/>
  <c r="P38" i="5" a="1"/>
  <c r="P38" i="5" s="1"/>
  <c r="P37" i="5" a="1"/>
  <c r="P37" i="5" s="1"/>
  <c r="P36" i="5" a="1"/>
  <c r="P36" i="5" s="1"/>
  <c r="P35" i="5" a="1"/>
  <c r="P35" i="5" s="1"/>
  <c r="P34" i="5" a="1"/>
  <c r="P34" i="5" s="1"/>
  <c r="P33" i="5" a="1"/>
  <c r="P33" i="5" s="1"/>
  <c r="P32" i="5" a="1"/>
  <c r="P32" i="5" s="1"/>
  <c r="P31" i="5" a="1"/>
  <c r="P31" i="5" s="1"/>
  <c r="P30" i="5" a="1"/>
  <c r="P30" i="5" s="1"/>
  <c r="P29" i="5" a="1"/>
  <c r="P29" i="5" s="1"/>
  <c r="P28" i="5" a="1"/>
  <c r="P28" i="5" s="1"/>
  <c r="P27" i="5" a="1"/>
  <c r="P27" i="5" s="1"/>
  <c r="P26" i="5" a="1"/>
  <c r="P26" i="5" s="1"/>
  <c r="P25" i="5" a="1"/>
  <c r="P25" i="5" s="1"/>
  <c r="P24" i="5" a="1"/>
  <c r="P24" i="5" s="1"/>
  <c r="P23" i="5" a="1"/>
  <c r="P23" i="5" s="1"/>
  <c r="P22" i="5" a="1"/>
  <c r="P22" i="5" s="1"/>
  <c r="P21" i="5" a="1"/>
  <c r="P21" i="5" s="1"/>
  <c r="P20" i="5" a="1"/>
  <c r="P20" i="5" s="1"/>
  <c r="P19" i="5" a="1"/>
  <c r="P19" i="5" s="1"/>
  <c r="P18" i="5" a="1"/>
  <c r="P18" i="5" s="1"/>
  <c r="P17" i="5" a="1"/>
  <c r="P17" i="5" s="1"/>
  <c r="P16" i="5" a="1"/>
  <c r="P16" i="5" s="1"/>
  <c r="P15" i="5" a="1"/>
  <c r="P15" i="5" s="1"/>
  <c r="P14" i="5" a="1"/>
  <c r="P14" i="5" s="1"/>
  <c r="P13" i="5" a="1"/>
  <c r="P13" i="5" s="1"/>
  <c r="P12" i="5" a="1"/>
  <c r="P12" i="5" s="1"/>
  <c r="P11" i="5" a="1"/>
  <c r="P11" i="5" s="1"/>
  <c r="P10" i="5" a="1"/>
  <c r="P10" i="5" s="1"/>
  <c r="P9" i="5" a="1"/>
  <c r="P9" i="5" s="1"/>
  <c r="P8" i="5" a="1"/>
  <c r="P8" i="5" s="1"/>
  <c r="P7" i="5" a="1"/>
  <c r="P7" i="5" s="1"/>
  <c r="P6" i="5" a="1"/>
  <c r="P6" i="5" s="1"/>
  <c r="P5" i="5" a="1"/>
  <c r="P5" i="5" s="1"/>
  <c r="P4" i="5" a="1"/>
  <c r="P4" i="5" s="1"/>
  <c r="P3" i="5" a="1"/>
  <c r="P3" i="5" s="1"/>
  <c r="P2" i="5" a="1"/>
  <c r="P2" i="5" s="1"/>
  <c r="T86" i="5" s="1"/>
  <c r="P3" i="3" a="1"/>
  <c r="P3" i="3"/>
  <c r="P4" i="3" a="1"/>
  <c r="P4" i="3"/>
  <c r="P5" i="3" a="1"/>
  <c r="P5" i="3"/>
  <c r="P6" i="3" a="1"/>
  <c r="P6" i="3"/>
  <c r="P7" i="3" a="1"/>
  <c r="P7" i="3"/>
  <c r="P8" i="3" a="1"/>
  <c r="P8" i="3"/>
  <c r="P9" i="3" a="1"/>
  <c r="P9" i="3"/>
  <c r="P10" i="3" a="1"/>
  <c r="P10" i="3"/>
  <c r="P11" i="3" a="1"/>
  <c r="P11" i="3"/>
  <c r="P12" i="3" a="1"/>
  <c r="P12" i="3"/>
  <c r="P13" i="3" a="1"/>
  <c r="P13" i="3"/>
  <c r="P14" i="3" a="1"/>
  <c r="P14" i="3"/>
  <c r="P15" i="3" a="1"/>
  <c r="P15" i="3"/>
  <c r="P16" i="3" a="1"/>
  <c r="P16" i="3"/>
  <c r="P17" i="3" a="1"/>
  <c r="P17" i="3"/>
  <c r="P18" i="3" a="1"/>
  <c r="P18" i="3"/>
  <c r="P19" i="3" a="1"/>
  <c r="P19" i="3"/>
  <c r="P20" i="3" a="1"/>
  <c r="P20" i="3"/>
  <c r="P21" i="3" a="1"/>
  <c r="P21" i="3"/>
  <c r="P22" i="3" a="1"/>
  <c r="P22" i="3"/>
  <c r="P23" i="3" a="1"/>
  <c r="P23" i="3"/>
  <c r="P24" i="3" a="1"/>
  <c r="P24" i="3"/>
  <c r="P25" i="3" a="1"/>
  <c r="P25" i="3"/>
  <c r="P26" i="3" a="1"/>
  <c r="P26" i="3"/>
  <c r="P27" i="3" a="1"/>
  <c r="P27" i="3"/>
  <c r="P28" i="3" a="1"/>
  <c r="P28" i="3"/>
  <c r="P29" i="3" a="1"/>
  <c r="P29" i="3"/>
  <c r="P30" i="3" a="1"/>
  <c r="P30" i="3"/>
  <c r="P31" i="3" a="1"/>
  <c r="P31" i="3"/>
  <c r="P32" i="3" a="1"/>
  <c r="P32" i="3"/>
  <c r="P33" i="3" a="1"/>
  <c r="P33" i="3"/>
  <c r="P34" i="3" a="1"/>
  <c r="P34" i="3"/>
  <c r="P35" i="3" a="1"/>
  <c r="P35" i="3"/>
  <c r="P36" i="3" a="1"/>
  <c r="P36" i="3"/>
  <c r="P37" i="3" a="1"/>
  <c r="P37" i="3"/>
  <c r="P38" i="3" a="1"/>
  <c r="P38" i="3"/>
  <c r="P39" i="3" a="1"/>
  <c r="P39" i="3"/>
  <c r="P40" i="3" a="1"/>
  <c r="P40" i="3"/>
  <c r="P41" i="3" a="1"/>
  <c r="P41" i="3"/>
  <c r="P42" i="3" a="1"/>
  <c r="P42" i="3"/>
  <c r="P43" i="3" a="1"/>
  <c r="P43" i="3"/>
  <c r="P44" i="3" a="1"/>
  <c r="P44" i="3"/>
  <c r="P45" i="3" a="1"/>
  <c r="P45" i="3"/>
  <c r="P46" i="3" a="1"/>
  <c r="P46" i="3"/>
  <c r="P47" i="3" a="1"/>
  <c r="P47" i="3"/>
  <c r="P48" i="3" a="1"/>
  <c r="P48" i="3"/>
  <c r="P49" i="3" a="1"/>
  <c r="P49" i="3"/>
  <c r="P50" i="3" a="1"/>
  <c r="P50" i="3"/>
  <c r="P51" i="3" a="1"/>
  <c r="P51" i="3"/>
  <c r="P52" i="3" a="1"/>
  <c r="P52" i="3"/>
  <c r="P53" i="3" a="1"/>
  <c r="P53" i="3"/>
  <c r="P54" i="3" a="1"/>
  <c r="P54" i="3"/>
  <c r="P55" i="3" a="1"/>
  <c r="P55" i="3"/>
  <c r="P56" i="3" a="1"/>
  <c r="P56" i="3"/>
  <c r="P57" i="3" a="1"/>
  <c r="P57" i="3"/>
  <c r="P58" i="3" a="1"/>
  <c r="P58" i="3"/>
  <c r="P59" i="3" a="1"/>
  <c r="P59" i="3"/>
  <c r="P60" i="3" a="1"/>
  <c r="P60" i="3"/>
  <c r="P61" i="3" a="1"/>
  <c r="P61" i="3"/>
  <c r="P62" i="3" a="1"/>
  <c r="P62" i="3"/>
  <c r="P63" i="3" a="1"/>
  <c r="P63" i="3"/>
  <c r="P64" i="3" a="1"/>
  <c r="P64" i="3"/>
  <c r="P65" i="3" a="1"/>
  <c r="P65" i="3"/>
  <c r="P66" i="3" a="1"/>
  <c r="P66" i="3"/>
  <c r="P67" i="3" a="1"/>
  <c r="P67" i="3"/>
  <c r="P68" i="3" a="1"/>
  <c r="P68" i="3"/>
  <c r="P69" i="3" a="1"/>
  <c r="P69" i="3"/>
  <c r="P70" i="3" a="1"/>
  <c r="P70" i="3"/>
  <c r="P71" i="3" a="1"/>
  <c r="P71" i="3"/>
  <c r="P72" i="3" a="1"/>
  <c r="P72" i="3"/>
  <c r="P73" i="3" a="1"/>
  <c r="P73" i="3"/>
  <c r="P74" i="3" a="1"/>
  <c r="P74" i="3"/>
  <c r="P75" i="3" a="1"/>
  <c r="P75" i="3"/>
  <c r="P76" i="3" a="1"/>
  <c r="P76" i="3"/>
  <c r="P77" i="3" a="1"/>
  <c r="P77" i="3"/>
  <c r="P78" i="3" a="1"/>
  <c r="P78" i="3"/>
  <c r="P79" i="3" a="1"/>
  <c r="P79" i="3"/>
  <c r="P80" i="3" a="1"/>
  <c r="P80" i="3"/>
  <c r="P81" i="3" a="1"/>
  <c r="P81" i="3"/>
  <c r="P82" i="3" a="1"/>
  <c r="P82" i="3"/>
  <c r="P83" i="3" a="1"/>
  <c r="P83" i="3"/>
  <c r="P84" i="3" a="1"/>
  <c r="P84" i="3"/>
  <c r="P85" i="3" a="1"/>
  <c r="P85" i="3"/>
  <c r="P86" i="3" a="1"/>
  <c r="P86" i="3"/>
  <c r="P87" i="3" a="1"/>
  <c r="P87" i="3"/>
  <c r="P88" i="3" a="1"/>
  <c r="P88" i="3"/>
  <c r="P89" i="3" a="1"/>
  <c r="P89" i="3"/>
  <c r="P90" i="3" a="1"/>
  <c r="P90" i="3"/>
  <c r="P91" i="3" a="1"/>
  <c r="P91" i="3"/>
  <c r="P92" i="3" a="1"/>
  <c r="P92" i="3"/>
  <c r="P93" i="3" a="1"/>
  <c r="P93" i="3"/>
  <c r="P94" i="3" a="1"/>
  <c r="P94" i="3"/>
  <c r="P95" i="3" a="1"/>
  <c r="P95" i="3"/>
  <c r="P96" i="3" a="1"/>
  <c r="P96" i="3"/>
  <c r="P97" i="3" a="1"/>
  <c r="P97" i="3"/>
  <c r="P98" i="3" a="1"/>
  <c r="P98" i="3"/>
  <c r="P99" i="3" a="1"/>
  <c r="P99" i="3"/>
  <c r="P100" i="3" a="1"/>
  <c r="P100" i="3"/>
  <c r="P101" i="3" a="1"/>
  <c r="P101" i="3"/>
  <c r="P102" i="3" a="1"/>
  <c r="P102" i="3"/>
  <c r="P103" i="3" a="1"/>
  <c r="P103" i="3"/>
  <c r="P104" i="3" a="1"/>
  <c r="P104" i="3"/>
  <c r="P105" i="3" a="1"/>
  <c r="P105" i="3"/>
  <c r="P106" i="3" a="1"/>
  <c r="P106" i="3"/>
  <c r="P107" i="3" a="1"/>
  <c r="P107" i="3"/>
  <c r="P108" i="3" a="1"/>
  <c r="P108" i="3"/>
  <c r="P109" i="3" a="1"/>
  <c r="P109" i="3"/>
  <c r="P110" i="3" a="1"/>
  <c r="P110" i="3"/>
  <c r="P111" i="3" a="1"/>
  <c r="P111" i="3"/>
  <c r="P112" i="3" a="1"/>
  <c r="P112" i="3"/>
  <c r="P113" i="3" a="1"/>
  <c r="P113" i="3"/>
  <c r="P114" i="3" a="1"/>
  <c r="P114" i="3"/>
  <c r="P115" i="3" a="1"/>
  <c r="P115" i="3"/>
  <c r="P116" i="3" a="1"/>
  <c r="P116" i="3"/>
  <c r="P117" i="3" a="1"/>
  <c r="P117" i="3"/>
  <c r="P118" i="3" a="1"/>
  <c r="P118" i="3"/>
  <c r="P119" i="3" a="1"/>
  <c r="P119" i="3"/>
  <c r="P120" i="3" a="1"/>
  <c r="P120" i="3"/>
  <c r="P121" i="3" a="1"/>
  <c r="P121" i="3"/>
  <c r="P122" i="3" a="1"/>
  <c r="P122" i="3"/>
  <c r="P123" i="3" a="1"/>
  <c r="P123" i="3"/>
  <c r="P124" i="3" a="1"/>
  <c r="P124" i="3"/>
  <c r="P125" i="3" a="1"/>
  <c r="P125" i="3"/>
  <c r="P126" i="3" a="1"/>
  <c r="P126" i="3"/>
  <c r="P127" i="3" a="1"/>
  <c r="P127" i="3"/>
  <c r="P128" i="3" a="1"/>
  <c r="P128" i="3"/>
  <c r="P129" i="3" a="1"/>
  <c r="P129" i="3"/>
  <c r="P130" i="3" a="1"/>
  <c r="P130" i="3"/>
  <c r="P131" i="3" a="1"/>
  <c r="P131" i="3"/>
  <c r="P132" i="3" a="1"/>
  <c r="P132" i="3"/>
  <c r="P133" i="3" a="1"/>
  <c r="P133" i="3"/>
  <c r="P134" i="3" a="1"/>
  <c r="P134" i="3"/>
  <c r="P135" i="3" a="1"/>
  <c r="P135" i="3"/>
  <c r="P136" i="3" a="1"/>
  <c r="P136" i="3"/>
  <c r="P137" i="3" a="1"/>
  <c r="P137" i="3"/>
  <c r="P138" i="3" a="1"/>
  <c r="P138" i="3"/>
  <c r="P139" i="3" a="1"/>
  <c r="P139" i="3"/>
  <c r="P140" i="3" a="1"/>
  <c r="P140" i="3"/>
  <c r="P141" i="3" a="1"/>
  <c r="P141" i="3"/>
  <c r="P142" i="3" a="1"/>
  <c r="P142" i="3"/>
  <c r="P143" i="3" a="1"/>
  <c r="P143" i="3"/>
  <c r="P144" i="3" a="1"/>
  <c r="P144" i="3"/>
  <c r="P145" i="3" a="1"/>
  <c r="P145" i="3"/>
  <c r="P146" i="3" a="1"/>
  <c r="P146" i="3"/>
  <c r="P147" i="3" a="1"/>
  <c r="P147" i="3"/>
  <c r="P148" i="3" a="1"/>
  <c r="P148" i="3"/>
  <c r="P149" i="3" a="1"/>
  <c r="P149" i="3"/>
  <c r="P150" i="3" a="1"/>
  <c r="P150" i="3"/>
  <c r="P151" i="3" a="1"/>
  <c r="P151" i="3"/>
  <c r="P152" i="3" a="1"/>
  <c r="P152" i="3"/>
  <c r="P153" i="3" a="1"/>
  <c r="P153" i="3"/>
  <c r="P154" i="3" a="1"/>
  <c r="P154" i="3"/>
  <c r="P155" i="3" a="1"/>
  <c r="P155" i="3"/>
  <c r="P156" i="3" a="1"/>
  <c r="P156" i="3"/>
  <c r="P157" i="3" a="1"/>
  <c r="P157" i="3"/>
  <c r="P158" i="3" a="1"/>
  <c r="P158" i="3"/>
  <c r="P159" i="3" a="1"/>
  <c r="P159" i="3"/>
  <c r="P160" i="3" a="1"/>
  <c r="P160" i="3"/>
  <c r="P161" i="3" a="1"/>
  <c r="P161" i="3"/>
  <c r="P162" i="3" a="1"/>
  <c r="P162" i="3"/>
  <c r="P163" i="3" a="1"/>
  <c r="P163" i="3"/>
  <c r="P164" i="3" a="1"/>
  <c r="P164" i="3"/>
  <c r="P165" i="3" a="1"/>
  <c r="P165" i="3"/>
  <c r="P166" i="3" a="1"/>
  <c r="P166" i="3"/>
  <c r="P167" i="3" a="1"/>
  <c r="P167" i="3"/>
  <c r="P168" i="3" a="1"/>
  <c r="P168" i="3"/>
  <c r="P169" i="3" a="1"/>
  <c r="P169" i="3"/>
  <c r="P170" i="3" a="1"/>
  <c r="P170" i="3"/>
  <c r="P171" i="3" a="1"/>
  <c r="P171" i="3"/>
  <c r="P172" i="3" a="1"/>
  <c r="P172" i="3"/>
  <c r="P173" i="3" a="1"/>
  <c r="P173" i="3"/>
  <c r="P174" i="3" a="1"/>
  <c r="P174" i="3"/>
  <c r="P175" i="3" a="1"/>
  <c r="P175" i="3"/>
  <c r="P176" i="3" a="1"/>
  <c r="P176" i="3"/>
  <c r="P177" i="3" a="1"/>
  <c r="P177" i="3"/>
  <c r="P178" i="3" a="1"/>
  <c r="P178" i="3"/>
  <c r="P179" i="3" a="1"/>
  <c r="P179" i="3"/>
  <c r="P180" i="3" a="1"/>
  <c r="P180" i="3"/>
  <c r="P181" i="3" a="1"/>
  <c r="P181" i="3"/>
  <c r="P182" i="3" a="1"/>
  <c r="P182" i="3"/>
  <c r="P183" i="3" a="1"/>
  <c r="P183" i="3"/>
  <c r="P184" i="3" a="1"/>
  <c r="P184" i="3"/>
  <c r="P185" i="3" a="1"/>
  <c r="P185" i="3"/>
  <c r="P186" i="3" a="1"/>
  <c r="P186" i="3"/>
  <c r="P187" i="3" a="1"/>
  <c r="P187" i="3"/>
  <c r="P188" i="3" a="1"/>
  <c r="P188" i="3"/>
  <c r="P189" i="3" a="1"/>
  <c r="P189" i="3"/>
  <c r="P190" i="3" a="1"/>
  <c r="P190" i="3"/>
  <c r="P191" i="3" a="1"/>
  <c r="P191" i="3"/>
  <c r="P192" i="3" a="1"/>
  <c r="P192" i="3"/>
  <c r="P193" i="3" a="1"/>
  <c r="P193" i="3"/>
  <c r="P194" i="3" a="1"/>
  <c r="P194" i="3"/>
  <c r="P195" i="3" a="1"/>
  <c r="P195" i="3"/>
  <c r="P196" i="3" a="1"/>
  <c r="P196" i="3"/>
  <c r="P197" i="3" a="1"/>
  <c r="P197" i="3"/>
  <c r="P198" i="3" a="1"/>
  <c r="P198" i="3"/>
  <c r="P199" i="3" a="1"/>
  <c r="P199" i="3"/>
  <c r="P200" i="3" a="1"/>
  <c r="P200" i="3"/>
  <c r="P201" i="3" a="1"/>
  <c r="P201" i="3"/>
  <c r="P202" i="3" a="1"/>
  <c r="P202" i="3"/>
  <c r="P203" i="3" a="1"/>
  <c r="P203" i="3"/>
  <c r="P204" i="3" a="1"/>
  <c r="P204" i="3"/>
  <c r="P205" i="3" a="1"/>
  <c r="P205" i="3"/>
  <c r="P206" i="3" a="1"/>
  <c r="P206" i="3"/>
  <c r="P207" i="3" a="1"/>
  <c r="P207" i="3"/>
  <c r="P208" i="3" a="1"/>
  <c r="P208" i="3"/>
  <c r="P209" i="3" a="1"/>
  <c r="P209" i="3"/>
  <c r="P210" i="3" a="1"/>
  <c r="P210" i="3"/>
  <c r="P211" i="3" a="1"/>
  <c r="P211" i="3"/>
  <c r="P212" i="3" a="1"/>
  <c r="P212" i="3"/>
  <c r="P213" i="3" a="1"/>
  <c r="P213" i="3"/>
  <c r="P214" i="3" a="1"/>
  <c r="P214" i="3"/>
  <c r="P215" i="3" a="1"/>
  <c r="P215" i="3"/>
  <c r="P216" i="3" a="1"/>
  <c r="P216" i="3"/>
  <c r="P217" i="3" a="1"/>
  <c r="P217" i="3"/>
  <c r="P218" i="3" a="1"/>
  <c r="P218" i="3"/>
  <c r="P219" i="3" a="1"/>
  <c r="P219" i="3"/>
  <c r="P220" i="3" a="1"/>
  <c r="P220" i="3"/>
  <c r="P221" i="3" a="1"/>
  <c r="P221" i="3"/>
  <c r="P222" i="3" a="1"/>
  <c r="P222" i="3"/>
  <c r="P223" i="3" a="1"/>
  <c r="P223" i="3"/>
  <c r="P224" i="3" a="1"/>
  <c r="P224" i="3"/>
  <c r="P225" i="3" a="1"/>
  <c r="P225" i="3"/>
  <c r="P226" i="3" a="1"/>
  <c r="P226" i="3"/>
  <c r="P227" i="3" a="1"/>
  <c r="P227" i="3"/>
  <c r="P228" i="3" a="1"/>
  <c r="P228" i="3"/>
  <c r="P229" i="3" a="1"/>
  <c r="P229" i="3"/>
  <c r="P230" i="3" a="1"/>
  <c r="P230" i="3"/>
  <c r="P231" i="3" a="1"/>
  <c r="P231" i="3"/>
  <c r="P232" i="3" a="1"/>
  <c r="P232" i="3"/>
  <c r="P233" i="3" a="1"/>
  <c r="P233" i="3"/>
  <c r="P234" i="3" a="1"/>
  <c r="P234" i="3"/>
  <c r="P235" i="3" a="1"/>
  <c r="P235" i="3"/>
  <c r="P236" i="3" a="1"/>
  <c r="P236" i="3"/>
  <c r="P237" i="3" a="1"/>
  <c r="P237" i="3"/>
  <c r="P238" i="3" a="1"/>
  <c r="P238" i="3"/>
  <c r="P239" i="3" a="1"/>
  <c r="P239" i="3"/>
  <c r="P240" i="3" a="1"/>
  <c r="P240" i="3"/>
  <c r="P241" i="3" a="1"/>
  <c r="P241" i="3"/>
  <c r="P242" i="3" a="1"/>
  <c r="P242" i="3"/>
  <c r="P243" i="3" a="1"/>
  <c r="P243" i="3"/>
  <c r="P244" i="3" a="1"/>
  <c r="P244" i="3"/>
  <c r="P245" i="3" a="1"/>
  <c r="P245" i="3"/>
  <c r="P246" i="3" a="1"/>
  <c r="P246" i="3"/>
  <c r="P247" i="3" a="1"/>
  <c r="P247" i="3"/>
  <c r="P248" i="3" a="1"/>
  <c r="P248" i="3"/>
  <c r="P249" i="3" a="1"/>
  <c r="P249" i="3"/>
  <c r="P250" i="3" a="1"/>
  <c r="P250" i="3"/>
  <c r="P251" i="3" a="1"/>
  <c r="P251" i="3"/>
  <c r="P252" i="3" a="1"/>
  <c r="P252" i="3"/>
  <c r="P253" i="3" a="1"/>
  <c r="P253" i="3"/>
  <c r="P254" i="3" a="1"/>
  <c r="P254" i="3"/>
  <c r="P255" i="3" a="1"/>
  <c r="P255" i="3"/>
  <c r="P256" i="3" a="1"/>
  <c r="P256" i="3"/>
  <c r="P257" i="3" a="1"/>
  <c r="P257" i="3"/>
  <c r="P258" i="3" a="1"/>
  <c r="P258" i="3"/>
  <c r="P259" i="3" a="1"/>
  <c r="P259" i="3"/>
  <c r="P260" i="3" a="1"/>
  <c r="P260" i="3"/>
  <c r="P261" i="3" a="1"/>
  <c r="P261" i="3"/>
  <c r="P262" i="3" a="1"/>
  <c r="P262" i="3"/>
  <c r="P263" i="3" a="1"/>
  <c r="P263" i="3"/>
  <c r="P264" i="3" a="1"/>
  <c r="P264" i="3"/>
  <c r="P265" i="3" a="1"/>
  <c r="P265" i="3"/>
  <c r="P266" i="3" a="1"/>
  <c r="P266" i="3"/>
  <c r="P267" i="3" a="1"/>
  <c r="P267" i="3"/>
  <c r="P268" i="3" a="1"/>
  <c r="P268" i="3"/>
  <c r="P269" i="3" a="1"/>
  <c r="P269" i="3"/>
  <c r="P270" i="3" a="1"/>
  <c r="P270" i="3"/>
  <c r="P271" i="3" a="1"/>
  <c r="P271" i="3"/>
  <c r="P272" i="3" a="1"/>
  <c r="P272" i="3"/>
  <c r="P273" i="3" a="1"/>
  <c r="P273" i="3"/>
  <c r="P274" i="3" a="1"/>
  <c r="P274" i="3"/>
  <c r="P275" i="3" a="1"/>
  <c r="P275" i="3"/>
  <c r="P276" i="3" a="1"/>
  <c r="P276" i="3"/>
  <c r="P277" i="3" a="1"/>
  <c r="P277" i="3"/>
  <c r="P278" i="3" a="1"/>
  <c r="P278" i="3"/>
  <c r="P279" i="3" a="1"/>
  <c r="P279" i="3"/>
  <c r="P280" i="3" a="1"/>
  <c r="P280" i="3"/>
  <c r="P281" i="3" a="1"/>
  <c r="P281" i="3"/>
  <c r="P282" i="3" a="1"/>
  <c r="P282" i="3"/>
  <c r="P283" i="3" a="1"/>
  <c r="P283" i="3"/>
  <c r="P284" i="3" a="1"/>
  <c r="P284" i="3"/>
  <c r="P285" i="3" a="1"/>
  <c r="P285" i="3"/>
  <c r="P286" i="3" a="1"/>
  <c r="P286" i="3"/>
  <c r="P287" i="3" a="1"/>
  <c r="P287" i="3"/>
  <c r="P288" i="3" a="1"/>
  <c r="P288" i="3"/>
  <c r="P289" i="3" a="1"/>
  <c r="P289" i="3"/>
  <c r="P290" i="3" a="1"/>
  <c r="P290" i="3"/>
  <c r="P291" i="3" a="1"/>
  <c r="P291" i="3"/>
  <c r="P292" i="3" a="1"/>
  <c r="P292" i="3"/>
  <c r="P293" i="3" a="1"/>
  <c r="P293" i="3"/>
  <c r="P294" i="3" a="1"/>
  <c r="P294" i="3"/>
  <c r="P295" i="3" a="1"/>
  <c r="P295" i="3"/>
  <c r="P296" i="3" a="1"/>
  <c r="P296" i="3"/>
  <c r="P297" i="3" a="1"/>
  <c r="P297" i="3"/>
  <c r="P298" i="3" a="1"/>
  <c r="P298" i="3"/>
  <c r="P299" i="3" a="1"/>
  <c r="P299" i="3"/>
  <c r="P300" i="3" a="1"/>
  <c r="P300" i="3"/>
  <c r="P301" i="3" a="1"/>
  <c r="P301" i="3"/>
  <c r="P302" i="3" a="1"/>
  <c r="P302" i="3"/>
  <c r="P303" i="3" a="1"/>
  <c r="P303" i="3"/>
  <c r="P304" i="3" a="1"/>
  <c r="P304" i="3"/>
  <c r="P305" i="3" a="1"/>
  <c r="P305" i="3"/>
  <c r="P306" i="3" a="1"/>
  <c r="P306" i="3"/>
  <c r="P307" i="3" a="1"/>
  <c r="P307" i="3"/>
  <c r="P308" i="3" a="1"/>
  <c r="P308" i="3"/>
  <c r="P309" i="3" a="1"/>
  <c r="P309" i="3"/>
  <c r="P310" i="3" a="1"/>
  <c r="P310" i="3"/>
  <c r="P311" i="3" a="1"/>
  <c r="P311" i="3"/>
  <c r="P312" i="3" a="1"/>
  <c r="P312" i="3"/>
  <c r="P313" i="3" a="1"/>
  <c r="P313" i="3"/>
  <c r="P314" i="3" a="1"/>
  <c r="P314" i="3"/>
  <c r="P315" i="3" a="1"/>
  <c r="P315" i="3"/>
  <c r="P316" i="3" a="1"/>
  <c r="P316" i="3"/>
  <c r="P317" i="3" a="1"/>
  <c r="P317" i="3"/>
  <c r="P318" i="3" a="1"/>
  <c r="P318" i="3"/>
  <c r="P319" i="3" a="1"/>
  <c r="P319" i="3"/>
  <c r="P320" i="3" a="1"/>
  <c r="P320" i="3"/>
  <c r="P321" i="3" a="1"/>
  <c r="P321" i="3"/>
  <c r="P322" i="3" a="1"/>
  <c r="P322" i="3"/>
  <c r="P323" i="3" a="1"/>
  <c r="P323" i="3"/>
  <c r="P324" i="3" a="1"/>
  <c r="P324" i="3"/>
  <c r="P325" i="3" a="1"/>
  <c r="P325" i="3"/>
  <c r="P326" i="3" a="1"/>
  <c r="P326" i="3"/>
  <c r="P327" i="3" a="1"/>
  <c r="P327" i="3"/>
  <c r="P328" i="3" a="1"/>
  <c r="P328" i="3"/>
  <c r="P329" i="3" a="1"/>
  <c r="P329" i="3"/>
  <c r="P330" i="3" a="1"/>
  <c r="P330" i="3"/>
  <c r="P331" i="3" a="1"/>
  <c r="P331" i="3"/>
  <c r="P332" i="3" a="1"/>
  <c r="P332" i="3"/>
  <c r="P333" i="3" a="1"/>
  <c r="P333" i="3"/>
  <c r="P334" i="3" a="1"/>
  <c r="P334" i="3"/>
  <c r="P335" i="3" a="1"/>
  <c r="P335" i="3"/>
  <c r="P336" i="3" a="1"/>
  <c r="P336" i="3"/>
  <c r="P337" i="3" a="1"/>
  <c r="P337" i="3"/>
  <c r="P338" i="3" a="1"/>
  <c r="P338" i="3"/>
  <c r="P339" i="3" a="1"/>
  <c r="P339" i="3"/>
  <c r="P340" i="3" a="1"/>
  <c r="P340" i="3"/>
  <c r="P341" i="3" a="1"/>
  <c r="P341" i="3"/>
  <c r="P342" i="3" a="1"/>
  <c r="P342" i="3"/>
  <c r="P343" i="3" a="1"/>
  <c r="P343" i="3"/>
  <c r="P344" i="3" a="1"/>
  <c r="P344" i="3"/>
  <c r="P345" i="3" a="1"/>
  <c r="P345" i="3"/>
  <c r="P346" i="3" a="1"/>
  <c r="P346" i="3"/>
  <c r="P347" i="3" a="1"/>
  <c r="P347" i="3"/>
  <c r="P348" i="3" a="1"/>
  <c r="P348" i="3"/>
  <c r="P349" i="3" a="1"/>
  <c r="P349" i="3"/>
  <c r="P350" i="3" a="1"/>
  <c r="P350" i="3"/>
  <c r="P351" i="3" a="1"/>
  <c r="P351" i="3"/>
  <c r="P352" i="3" a="1"/>
  <c r="P352" i="3"/>
  <c r="P353" i="3" a="1"/>
  <c r="P353" i="3"/>
  <c r="P354" i="3" a="1"/>
  <c r="P354" i="3"/>
  <c r="P355" i="3" a="1"/>
  <c r="P355" i="3"/>
  <c r="P356" i="3" a="1"/>
  <c r="P356" i="3"/>
  <c r="P357" i="3" a="1"/>
  <c r="P357" i="3"/>
  <c r="P358" i="3" a="1"/>
  <c r="P358" i="3"/>
  <c r="P359" i="3" a="1"/>
  <c r="P359" i="3"/>
  <c r="P360" i="3" a="1"/>
  <c r="P360" i="3"/>
  <c r="P361" i="3" a="1"/>
  <c r="P361" i="3"/>
  <c r="P362" i="3" a="1"/>
  <c r="P362" i="3"/>
  <c r="P363" i="3" a="1"/>
  <c r="P363" i="3"/>
  <c r="P364" i="3" a="1"/>
  <c r="P364" i="3"/>
  <c r="P365" i="3" a="1"/>
  <c r="P365" i="3"/>
  <c r="P366" i="3" a="1"/>
  <c r="P366" i="3"/>
  <c r="P367" i="3" a="1"/>
  <c r="P367" i="3"/>
  <c r="P368" i="3" a="1"/>
  <c r="P368" i="3"/>
  <c r="P369" i="3" a="1"/>
  <c r="P369" i="3"/>
  <c r="P370" i="3" a="1"/>
  <c r="P370" i="3"/>
  <c r="P371" i="3" a="1"/>
  <c r="P371" i="3"/>
  <c r="P372" i="3" a="1"/>
  <c r="P372" i="3"/>
  <c r="P373" i="3" a="1"/>
  <c r="P373" i="3"/>
  <c r="P374" i="3" a="1"/>
  <c r="P374" i="3"/>
  <c r="P375" i="3" a="1"/>
  <c r="P375" i="3"/>
  <c r="P376" i="3" a="1"/>
  <c r="P376" i="3"/>
  <c r="P377" i="3" a="1"/>
  <c r="P377" i="3"/>
  <c r="P378" i="3" a="1"/>
  <c r="P378" i="3"/>
  <c r="P379" i="3" a="1"/>
  <c r="P379" i="3"/>
  <c r="P380" i="3" a="1"/>
  <c r="P380" i="3"/>
  <c r="P381" i="3" a="1"/>
  <c r="P381" i="3"/>
  <c r="P382" i="3" a="1"/>
  <c r="P382" i="3"/>
  <c r="P383" i="3" a="1"/>
  <c r="P383" i="3"/>
  <c r="P384" i="3" a="1"/>
  <c r="P384" i="3"/>
  <c r="P385" i="3" a="1"/>
  <c r="P385" i="3"/>
  <c r="P386" i="3" a="1"/>
  <c r="P386" i="3"/>
  <c r="P387" i="3" a="1"/>
  <c r="P387" i="3"/>
  <c r="P388" i="3" a="1"/>
  <c r="P388" i="3"/>
  <c r="P389" i="3" a="1"/>
  <c r="P389" i="3"/>
  <c r="P390" i="3" a="1"/>
  <c r="P390" i="3"/>
  <c r="P391" i="3" a="1"/>
  <c r="P391" i="3"/>
  <c r="P392" i="3" a="1"/>
  <c r="P392" i="3"/>
  <c r="P393" i="3" a="1"/>
  <c r="P393" i="3"/>
  <c r="P394" i="3" a="1"/>
  <c r="P394" i="3"/>
  <c r="P395" i="3" a="1"/>
  <c r="P395" i="3"/>
  <c r="P396" i="3" a="1"/>
  <c r="P396" i="3"/>
  <c r="P397" i="3" a="1"/>
  <c r="P397" i="3"/>
  <c r="P398" i="3" a="1"/>
  <c r="P398" i="3"/>
  <c r="P399" i="3" a="1"/>
  <c r="P399" i="3"/>
  <c r="P400" i="3" a="1"/>
  <c r="P400" i="3"/>
  <c r="P401" i="3" a="1"/>
  <c r="P401" i="3"/>
  <c r="P402" i="3" a="1"/>
  <c r="P402" i="3"/>
  <c r="P403" i="3" a="1"/>
  <c r="P403" i="3"/>
  <c r="P404" i="3" a="1"/>
  <c r="P404" i="3"/>
  <c r="P405" i="3" a="1"/>
  <c r="P405" i="3"/>
  <c r="P406" i="3" a="1"/>
  <c r="P406" i="3"/>
  <c r="P407" i="3" a="1"/>
  <c r="P407" i="3"/>
  <c r="P408" i="3" a="1"/>
  <c r="P408" i="3"/>
  <c r="P409" i="3" a="1"/>
  <c r="P409" i="3"/>
  <c r="P410" i="3" a="1"/>
  <c r="P410" i="3"/>
  <c r="P411" i="3" a="1"/>
  <c r="P411" i="3"/>
  <c r="P412" i="3" a="1"/>
  <c r="P412" i="3"/>
  <c r="P413" i="3" a="1"/>
  <c r="P413" i="3"/>
  <c r="P414" i="3" a="1"/>
  <c r="P414" i="3"/>
  <c r="P415" i="3" a="1"/>
  <c r="P415" i="3"/>
  <c r="P416" i="3" a="1"/>
  <c r="P416" i="3"/>
  <c r="P417" i="3" a="1"/>
  <c r="P417" i="3"/>
  <c r="P418" i="3" a="1"/>
  <c r="P418" i="3"/>
  <c r="P419" i="3" a="1"/>
  <c r="P419" i="3"/>
  <c r="P420" i="3" a="1"/>
  <c r="P420" i="3"/>
  <c r="P421" i="3" a="1"/>
  <c r="P421" i="3"/>
  <c r="P422" i="3" a="1"/>
  <c r="P422" i="3"/>
  <c r="P423" i="3" a="1"/>
  <c r="P423" i="3"/>
  <c r="P424" i="3" a="1"/>
  <c r="P424" i="3"/>
  <c r="P425" i="3" a="1"/>
  <c r="P425" i="3"/>
  <c r="P426" i="3" a="1"/>
  <c r="P426" i="3"/>
  <c r="P427" i="3" a="1"/>
  <c r="P427" i="3"/>
  <c r="P428" i="3" a="1"/>
  <c r="P428" i="3"/>
  <c r="P429" i="3" a="1"/>
  <c r="P429" i="3"/>
  <c r="P430" i="3" a="1"/>
  <c r="P430" i="3"/>
  <c r="P431" i="3" a="1"/>
  <c r="P431" i="3"/>
  <c r="P432" i="3" a="1"/>
  <c r="P432" i="3"/>
  <c r="P433" i="3" a="1"/>
  <c r="P433" i="3"/>
  <c r="P434" i="3" a="1"/>
  <c r="P434" i="3"/>
  <c r="P435" i="3" a="1"/>
  <c r="P435" i="3"/>
  <c r="P436" i="3" a="1"/>
  <c r="P436" i="3"/>
  <c r="P437" i="3" a="1"/>
  <c r="P437" i="3"/>
  <c r="P438" i="3" a="1"/>
  <c r="P438" i="3"/>
  <c r="P439" i="3" a="1"/>
  <c r="P439" i="3"/>
  <c r="P440" i="3" a="1"/>
  <c r="P440" i="3"/>
  <c r="P441" i="3" a="1"/>
  <c r="P441" i="3"/>
  <c r="P442" i="3" a="1"/>
  <c r="P442" i="3"/>
  <c r="P443" i="3" a="1"/>
  <c r="P443" i="3"/>
  <c r="P444" i="3" a="1"/>
  <c r="P444" i="3"/>
  <c r="P445" i="3" a="1"/>
  <c r="P445" i="3"/>
  <c r="P446" i="3" a="1"/>
  <c r="P446" i="3"/>
  <c r="P447" i="3" a="1"/>
  <c r="P447" i="3"/>
  <c r="P448" i="3" a="1"/>
  <c r="P448" i="3"/>
  <c r="P449" i="3" a="1"/>
  <c r="P449" i="3"/>
  <c r="P450" i="3" a="1"/>
  <c r="P450" i="3"/>
  <c r="P451" i="3" a="1"/>
  <c r="P451" i="3"/>
  <c r="P452" i="3" a="1"/>
  <c r="P452" i="3"/>
  <c r="P453" i="3" a="1"/>
  <c r="P453" i="3"/>
  <c r="P454" i="3" a="1"/>
  <c r="P454" i="3"/>
  <c r="P455" i="3" a="1"/>
  <c r="P455" i="3"/>
  <c r="P456" i="3" a="1"/>
  <c r="P456" i="3"/>
  <c r="P457" i="3" a="1"/>
  <c r="P457" i="3"/>
  <c r="P458" i="3" a="1"/>
  <c r="P458" i="3"/>
  <c r="P2" i="3" a="1"/>
  <c r="P2" i="3"/>
  <c r="B37" i="6" l="1"/>
  <c r="B28" i="6"/>
  <c r="B39" i="6"/>
  <c r="B38" i="6"/>
  <c r="B43" i="6"/>
  <c r="B85" i="6"/>
  <c r="B87" i="6" s="1"/>
  <c r="B86" i="6"/>
  <c r="B40" i="6"/>
  <c r="B41" i="6"/>
  <c r="B42" i="6"/>
  <c r="B27" i="6"/>
  <c r="B14" i="6"/>
  <c r="B17" i="6" s="1"/>
  <c r="B29" i="6" l="1"/>
  <c r="B30" i="6"/>
  <c r="B16"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<sst xmlns="http://schemas.openxmlformats.org/spreadsheetml/2006/main" count="115" uniqueCount="76">
  <si>
    <t>Id</t>
  </si>
  <si>
    <t>ActivityDate</t>
  </si>
  <si>
    <t>TotalSteps</t>
  </si>
  <si>
    <t>TotalDistance</t>
  </si>
  <si>
    <t>TrackerDistance</t>
  </si>
  <si>
    <t>LoggedActivitiesDistance</t>
  </si>
  <si>
    <t>VeryActiveDistance</t>
  </si>
  <si>
    <t>ModeratelyActiveDistance</t>
  </si>
  <si>
    <t>LightActiveDistance</t>
  </si>
  <si>
    <t>SedentaryActiveDistance</t>
  </si>
  <si>
    <t>VeryActiveMinutes</t>
  </si>
  <si>
    <t>FairlyActiveMinutes</t>
  </si>
  <si>
    <t>LightlyActiveMinutes</t>
  </si>
  <si>
    <t>SedentaryMinutes</t>
  </si>
  <si>
    <t>Calories</t>
  </si>
  <si>
    <t>Sleep Hours</t>
  </si>
  <si>
    <t>Metric</t>
  </si>
  <si>
    <t>Value</t>
  </si>
  <si>
    <t>Average Total Steps</t>
  </si>
  <si>
    <t>Minimum Total Steps</t>
  </si>
  <si>
    <t>Maximum Total Steps</t>
  </si>
  <si>
    <t>Q1 Total Steps</t>
  </si>
  <si>
    <t>Q3 Total Steps</t>
  </si>
  <si>
    <t>IQR Total Steps</t>
  </si>
  <si>
    <t>Upper Outlier Bound</t>
  </si>
  <si>
    <t>Lower Outlier Bound</t>
  </si>
  <si>
    <t>&gt;upper</t>
  </si>
  <si>
    <t>&lt;lower</t>
  </si>
  <si>
    <t>Median</t>
  </si>
  <si>
    <t>Business Question 1: What are some trends in smart device usage?</t>
  </si>
  <si>
    <t>Analysis 1: Daily Step Count</t>
  </si>
  <si>
    <t>The data shows considerable variation in daily step counts. The average was 6,547 steps, while the median was 5,986 steps. Approximately 50% of recorded days fell between 1,988 and 10,198 steps. Five potential upper outliers were identified, but there was no clear evidence that they were data errors.</t>
  </si>
  <si>
    <t>Day of Week</t>
  </si>
  <si>
    <t>Day Type</t>
  </si>
  <si>
    <t>Analysis 2: Weekday vs. Weekend Steps</t>
  </si>
  <si>
    <t>Diff</t>
  </si>
  <si>
    <t>Weekday Avg</t>
  </si>
  <si>
    <t>Weekend Avg</t>
  </si>
  <si>
    <t>Prec</t>
  </si>
  <si>
    <t>The analysis shows that average daily steps were higher on weekdays than on weekends. Users recorded an average of 6,866 steps on weekdays compared with 5,879 steps on weekends, representing approximately 17% more steps on weekdays.</t>
  </si>
  <si>
    <t>Analysis 3: Steps by Day of the Week</t>
  </si>
  <si>
    <t>Sunday</t>
  </si>
  <si>
    <t>Monday</t>
  </si>
  <si>
    <t>Tuesday</t>
  </si>
  <si>
    <t>Wednesday</t>
  </si>
  <si>
    <t>Thursday</t>
  </si>
  <si>
    <t>Friday</t>
  </si>
  <si>
    <t>Saturday</t>
  </si>
  <si>
    <t>The analysis shows variation in average daily steps across the week, with Wednesday recording the highest average (7,511 steps) and Tuesday the lowest (4,915 steps). However, no consistent weekly trend was observed, as step counts varied across the different days.</t>
  </si>
  <si>
    <t>Analysis 4: Steps by Hour of the Day</t>
  </si>
  <si>
    <t>The analysis shows a clear daily pattern in activity levels. Average hourly steps began increasing around 6:00, remained relatively high throughout the day, and reached the highest point at 19:00 (529 steps/hour). After 20:00, activity began to decline.</t>
  </si>
  <si>
    <t>Analysis 5: Activity vs. Sedentary Time</t>
  </si>
  <si>
    <t>Activity Level</t>
  </si>
  <si>
    <t>Average Minutes</t>
  </si>
  <si>
    <t>Very Active</t>
  </si>
  <si>
    <t>Fairly Active</t>
  </si>
  <si>
    <t>Light Active</t>
  </si>
  <si>
    <t>Sedentary</t>
  </si>
  <si>
    <t>Total Active Minutes</t>
  </si>
  <si>
    <t>كم مره الخمول أكبر من النشاط</t>
  </si>
  <si>
    <t>كم تزيد مدة الخمول عن النشاط كنسبة مئوية؟</t>
  </si>
  <si>
    <t>The analysis shows that sedentary time was substantially higher than active time. The average recorded sedentary time was 995 minutes, compared with approximately 200 minutes of total active time. This means that sedentary time was about five times higher than total active time.</t>
  </si>
  <si>
    <t>Analysis 6: Average Daily Sleep Duration</t>
  </si>
  <si>
    <t>Average Sleep Hours</t>
  </si>
  <si>
    <t>Minimum Sleep Hours</t>
  </si>
  <si>
    <t>Maximum Sleep Hours</t>
  </si>
  <si>
    <t>Median Sleep Hours</t>
  </si>
  <si>
    <t>Less than 6 hours</t>
  </si>
  <si>
    <t>6–8 hours</t>
  </si>
  <si>
    <t>More than 8 hours</t>
  </si>
  <si>
    <t>The analysis shows that 6–8 hours was the most common recorded sleep-duration range, with 188 out of 467 recorded days falling within this range. The average recorded sleep duration was 6.53 hours, while the median was 7.02 hours.</t>
  </si>
  <si>
    <t>Analysis 7: Activity vs. Sleep</t>
  </si>
  <si>
    <t>The analysis found a very weak negative relationship between sleep duration and daily steps (r = −0.18). Sleep duration explained only 3.23% of the variation in daily steps (R² = 0.0323), suggesting that there was no strong relationship between the two variables in the recorded data.</t>
  </si>
  <si>
    <t>Peak</t>
  </si>
  <si>
    <t>BELLABEAT USER BEHAVIOR</t>
  </si>
  <si>
    <t>Fitbit Smart Device Usage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</si>
</sst>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8"/>
      <name val="Arial"/>
      <family val="2"/>
      <scheme val="minor"/>
    </font>
    <font>
      <b/>
      <sz val="20"/>
      <color theme="1"/>
      <name val="Arial"/>
      <family val="2"/>
      <scheme val="minor"/>
    </font>
    <font>
      <sz val="14"/>
      <color theme="1"/>
      <name val="Arial"/>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applyAlignment="1">
      <alignment horizontal="right"/>
    </xf>
    <xf numFmtId="2" fontId="0" fillId="0" borderId="0" xfId="0" applyNumberFormat="1"/>
    <xf numFmtId="0" fontId="16" fillId="0" borderId="0" xfId="0" applyFont="1" applyAlignment="1">
      <alignment horizontal="center"/>
    </xf>
    <xf numFmtId="0" fontId="16" fillId="0" borderId="0" xfId="0" applyFont="1" applyAlignment="1">
      <alignment vertical="top"/>
    </xf>
    <xf numFmtId="0" fontId="0" fillId="0" borderId="0" xfId="0" applyAlignment="1">
      <alignment vertical="center"/>
    </xf>
    <xf numFmtId="9" fontId="0" fillId="0" borderId="0" xfId="42" applyFont="1"/>
    <xf numFmtId="0" fontId="16" fillId="0" borderId="0" xfId="0" applyFont="1" applyAlignment="1">
      <alignment horizontal="center" vertical="top"/>
    </xf>
    <xf numFmtId="0" fontId="16" fillId="33" borderId="0" xfId="0" applyFont="1" applyFill="1" applyAlignment="1">
      <alignment horizontal="center" vertical="top" wrapText="1"/>
    </xf>
    <xf numFmtId="0" fontId="0" fillId="34" borderId="0" xfId="0" applyFill="1" applyAlignment="1">
      <alignment vertical="center" wrapText="1"/>
    </xf>
    <xf numFmtId="0" fontId="16" fillId="35" borderId="0" xfId="0" applyFont="1" applyFill="1" applyAlignment="1">
      <alignment horizontal="center" vertical="top" wrapText="1"/>
    </xf>
    <xf numFmtId="0" fontId="19" fillId="0" borderId="0" xfId="0" applyFont="1" applyAlignment="1">
      <alignment horizontal="center"/>
    </xf>
    <xf numFmtId="0" fontId="20"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D792A"/>
      <color rgb="FFC6F2CC"/>
      <color rgb="FFA1E9AB"/>
      <color rgb="FF96E6A1"/>
      <color rgb="FFD0F4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barChart>
        <c:barDir val="col"/>
        <c:grouping val="clustered"/>
        <c:varyColors val="0"/>
        <c:ser>
          <c:idx val="0"/>
          <c:order val="0"/>
          <c:tx>
            <c:strRef>
              <c:f>'Analysis Summary'!$B$36</c:f>
              <c:strCache>
                <c:ptCount val="1"/>
                <c:pt idx="0">
                  <c:v>Value</c:v>
                </c:pt>
              </c:strCache>
            </c:strRef>
          </c:tx>
          <c:spPr>
            <a:solidFill>
              <a:schemeClr val="accent3"/>
            </a:solidFill>
            <a:ln>
              <a:noFill/>
            </a:ln>
            <a:effectLst/>
          </c:spPr>
          <c:invertIfNegative val="0"/>
          <c:cat>
            <c:strRef>
              <c:f>'Analysis Summary'!$A$37:$A$43</c:f>
              <c:strCache>
                <c:ptCount val="7"/>
                <c:pt idx="0">
                  <c:v>Sunday</c:v>
                </c:pt>
                <c:pt idx="1">
                  <c:v>Monday</c:v>
                </c:pt>
                <c:pt idx="2">
                  <c:v>Tuesday</c:v>
                </c:pt>
                <c:pt idx="3">
                  <c:v>Wednesday</c:v>
                </c:pt>
                <c:pt idx="4">
                  <c:v>Thursday</c:v>
                </c:pt>
                <c:pt idx="5">
                  <c:v>Friday</c:v>
                </c:pt>
                <c:pt idx="6">
                  <c:v>Saturday</c:v>
                </c:pt>
              </c:strCache>
            </c:strRef>
          </c:cat>
          <c:val>
            <c:numRef>
              <c:f>'Analysis Summary'!$B$37:$B$43</c:f>
              <c:numCache>
                <c:formatCode>0.00</c:formatCode>
                <c:ptCount val="7"/>
                <c:pt idx="0">
                  <c:v>6058.0138888888887</c:v>
                </c:pt>
                <c:pt idx="1">
                  <c:v>7118.588235294118</c:v>
                </c:pt>
                <c:pt idx="2">
                  <c:v>4914.9178082191784</c:v>
                </c:pt>
                <c:pt idx="3">
                  <c:v>7510.708333333333</c:v>
                </c:pt>
                <c:pt idx="4">
                  <c:v>6847.083333333333</c:v>
                </c:pt>
                <c:pt idx="5">
                  <c:v>6737.5616438356165</c:v>
                </c:pt>
                <c:pt idx="6">
                  <c:v>7089.7733333333335</c:v>
                </c:pt>
              </c:numCache>
            </c:numRef>
          </c:val>
          <c:extLst>
            <c:ext xmlns:c16="http://schemas.microsoft.com/office/drawing/2014/chart" uri="{C3380CC4-5D6E-409C-BE32-E72D297353CC}">
              <c16:uniqueId val="{00000000-6FEB-4D32-A890-6BE2D0DFE4D7}"/>
            </c:ext>
          </c:extLst>
        </c:ser>
        <c:dLbls>
          <c:showLegendKey val="0"/>
          <c:showVal val="0"/>
          <c:showCatName val="0"/>
          <c:showSerName val="0"/>
          <c:showPercent val="0"/>
          <c:showBubbleSize val="0"/>
        </c:dLbls>
        <c:gapWidth val="219"/>
        <c:overlap val="-27"/>
        <c:axId val="137040976"/>
        <c:axId val="1556869904"/>
      </c:barChart>
      <c:catAx>
        <c:axId val="13704097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56869904"/>
        <c:crosses val="autoZero"/>
        <c:auto val="1"/>
        <c:lblAlgn val="ctr"/>
        <c:lblOffset val="100"/>
        <c:noMultiLvlLbl val="0"/>
      </c:catAx>
      <c:valAx>
        <c:axId val="1556869904"/>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704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2000" b="1" i="0" u="none" strike="noStrike" baseline="0"/>
              <a:t>Steps by Hour of the Day</a:t>
            </a:r>
          </a:p>
          <a:p>
            <a:pPr>
              <a:defRPr/>
            </a:pPr>
            <a:r>
              <a:rPr lang="ar-SA" sz="1400" b="0" i="0" u="none" strike="noStrike" baseline="0"/>
              <a:t>Activity increased in the morning and peaked at 7 PM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scatterChart>
        <c:scatterStyle val="lineMarker"/>
        <c:varyColors val="0"/>
        <c:ser>
          <c:idx val="1"/>
          <c:order val="0"/>
          <c:spPr>
            <a:ln w="28575" cap="rnd">
              <a:solidFill>
                <a:srgbClr val="1D792A"/>
              </a:solidFill>
              <a:round/>
            </a:ln>
            <a:effectLst/>
          </c:spPr>
          <c:marker>
            <c:symbol val="none"/>
          </c:marker>
          <c:dPt>
            <c:idx val="19"/>
            <c:marker>
              <c:symbol val="none"/>
            </c:marker>
            <c:bubble3D val="0"/>
            <c:extLst>
              <c:ext xmlns:c16="http://schemas.microsoft.com/office/drawing/2014/chart" uri="{C3380CC4-5D6E-409C-BE32-E72D297353CC}">
                <c16:uniqueId val="{00000007-A091-479C-B29C-52911D7A652D}"/>
              </c:ext>
            </c:extLst>
          </c:dPt>
          <c:dLbls>
            <c:dLbl>
              <c:idx val="19"/>
              <c:layout>
                <c:manualLayout>
                  <c:x val="-3.5161949540910592E-2"/>
                  <c:y val="-2.7502065361798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91-479C-B29C-52911D7A652D}"/>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'Analysis Summary'!$A$50:$A$73</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xVal>
          <c:yVal>
            <c:numRef>
              <c:f>'Analysis Summary'!$B$50:$B$73</c:f>
              <c:numCache>
                <c:formatCode>0.00</c:formatCode>
                <c:ptCount val="24"/>
                <c:pt idx="0">
                  <c:v>44.421155729676791</c:v>
                </c:pt>
                <c:pt idx="1">
                  <c:v>20.484818805093045</c:v>
                </c:pt>
                <c:pt idx="2">
                  <c:v>10.588638589618022</c:v>
                </c:pt>
                <c:pt idx="3">
                  <c:v>7.31207065750736</c:v>
                </c:pt>
                <c:pt idx="4">
                  <c:v>9.7554027504911591</c:v>
                </c:pt>
                <c:pt idx="5">
                  <c:v>26.113077679449361</c:v>
                </c:pt>
                <c:pt idx="6">
                  <c:v>120.16437007874016</c:v>
                </c:pt>
                <c:pt idx="7">
                  <c:v>267.12031558185402</c:v>
                </c:pt>
                <c:pt idx="8">
                  <c:v>365.59643916913944</c:v>
                </c:pt>
                <c:pt idx="9">
                  <c:v>430.25841584158417</c:v>
                </c:pt>
                <c:pt idx="10">
                  <c:v>437.00499500499501</c:v>
                </c:pt>
                <c:pt idx="11">
                  <c:v>452.74523570712137</c:v>
                </c:pt>
                <c:pt idx="12">
                  <c:v>520.94477911646584</c:v>
                </c:pt>
                <c:pt idx="13">
                  <c:v>457.88253012048193</c:v>
                </c:pt>
                <c:pt idx="14">
                  <c:v>474.12449799196787</c:v>
                </c:pt>
                <c:pt idx="15">
                  <c:v>390.46934673366832</c:v>
                </c:pt>
                <c:pt idx="16">
                  <c:v>447.36683417085425</c:v>
                </c:pt>
                <c:pt idx="17">
                  <c:v>453.6639839034205</c:v>
                </c:pt>
                <c:pt idx="18">
                  <c:v>505.64652567975833</c:v>
                </c:pt>
                <c:pt idx="19">
                  <c:v>528.87814702920446</c:v>
                </c:pt>
                <c:pt idx="20">
                  <c:v>399.3178607467205</c:v>
                </c:pt>
                <c:pt idx="21">
                  <c:v>261.00908173562061</c:v>
                </c:pt>
                <c:pt idx="22">
                  <c:v>172.98383838383839</c:v>
                </c:pt>
                <c:pt idx="23">
                  <c:v>102.90182186234817</c:v>
                </c:pt>
              </c:numCache>
            </c:numRef>
          </c:yVal>
          <c:smooth val="0"/>
          <c:extLst>
            <c:ext xmlns:c16="http://schemas.microsoft.com/office/drawing/2014/chart" uri="{C3380CC4-5D6E-409C-BE32-E72D297353CC}">
              <c16:uniqueId val="{00000001-A091-479C-B29C-52911D7A652D}"/>
            </c:ext>
          </c:extLst>
        </c:ser>
        <c:ser>
          <c:idx val="0"/>
          <c:order val="1"/>
          <c:tx>
            <c:strRef>
              <c:f>'Analysis Summary'!$C$49</c:f>
              <c:strCache>
                <c:ptCount val="1"/>
                <c:pt idx="0">
                  <c:v>Peak</c:v>
                </c:pt>
              </c:strCache>
            </c:strRef>
          </c:tx>
          <c:spPr>
            <a:ln w="28575" cap="rnd">
              <a:solidFill>
                <a:schemeClr val="accent1"/>
              </a:solidFill>
              <a:round/>
            </a:ln>
            <a:effectLst/>
          </c:spPr>
          <c:marker>
            <c:symbol val="none"/>
          </c:marker>
          <c:xVal>
            <c:numRef>
              <c:f>'Analysis Summary'!$A$50</c:f>
              <c:numCache>
                <c:formatCode>General</c:formatCode>
                <c:ptCount val="1"/>
                <c:pt idx="0">
                  <c:v>0</c:v>
                </c:pt>
              </c:numCache>
            </c:numRef>
          </c:xVal>
          <c:yVal>
            <c:numRef>
              <c:f>'Analysis Summary'!$C$50</c:f>
              <c:numCache>
                <c:formatCode>General</c:formatCode>
                <c:ptCount val="1"/>
              </c:numCache>
            </c:numRef>
          </c:yVal>
          <c:smooth val="0"/>
          <c:extLst>
            <c:ext xmlns:c16="http://schemas.microsoft.com/office/drawing/2014/chart" uri="{C3380CC4-5D6E-409C-BE32-E72D297353CC}">
              <c16:uniqueId val="{00000008-A091-479C-B29C-52911D7A652D}"/>
            </c:ext>
          </c:extLst>
        </c:ser>
        <c:dLbls>
          <c:showLegendKey val="0"/>
          <c:showVal val="0"/>
          <c:showCatName val="0"/>
          <c:showSerName val="0"/>
          <c:showPercent val="0"/>
          <c:showBubbleSize val="0"/>
        </c:dLbls>
        <c:axId val="182928960"/>
        <c:axId val="1556841104"/>
      </c:scatterChart>
      <c:valAx>
        <c:axId val="182928960"/>
        <c:scaling>
          <c:orientation val="minMax"/>
          <c:max val="23"/>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600" b="0" i="0" u="none" strike="noStrike" baseline="0"/>
                  <a:t>Hour of Day</a:t>
                </a:r>
                <a:endParaRPr lang="en-US" sz="16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56841104"/>
        <c:crosses val="autoZero"/>
        <c:crossBetween val="midCat"/>
        <c:majorUnit val="1"/>
      </c:valAx>
      <c:valAx>
        <c:axId val="1556841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ar-SA" sz="1400" b="0" i="0" u="none" strike="noStrike" baseline="0"/>
                  <a:t>Average Steps per Hour</a:t>
                </a:r>
                <a:endParaRPr lang="en-US"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29289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2000" b="1" i="0" u="none" strike="noStrike" baseline="0"/>
              <a:t>Activity vs. Sedentary Time</a:t>
            </a:r>
          </a:p>
          <a:p>
            <a:pPr>
              <a:defRPr/>
            </a:pPr>
            <a:r>
              <a:rPr lang="ar-SA" sz="1400" b="0" i="1" u="none" strike="noStrike" baseline="0"/>
              <a:t>Sedentary time was substantially higher than active time</a:t>
            </a:r>
            <a:endParaRPr lang="en-US" sz="20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barChart>
        <c:barDir val="col"/>
        <c:grouping val="clustered"/>
        <c:varyColors val="0"/>
        <c:ser>
          <c:idx val="0"/>
          <c:order val="0"/>
          <c:tx>
            <c:strRef>
              <c:f>'Analysis Summary'!$B$79</c:f>
              <c:strCache>
                <c:ptCount val="1"/>
                <c:pt idx="0">
                  <c:v>Average Minutes</c:v>
                </c:pt>
              </c:strCache>
            </c:strRef>
          </c:tx>
          <c:spPr>
            <a:solidFill>
              <a:srgbClr val="C6F2CC"/>
            </a:solidFill>
            <a:ln>
              <a:solidFill>
                <a:srgbClr val="1D792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Summary'!$A$80:$A$83</c:f>
              <c:strCache>
                <c:ptCount val="4"/>
                <c:pt idx="0">
                  <c:v>Very Active</c:v>
                </c:pt>
                <c:pt idx="1">
                  <c:v>Fairly Active</c:v>
                </c:pt>
                <c:pt idx="2">
                  <c:v>Light Active</c:v>
                </c:pt>
                <c:pt idx="3">
                  <c:v>Sedentary</c:v>
                </c:pt>
              </c:strCache>
            </c:strRef>
          </c:cat>
          <c:val>
            <c:numRef>
              <c:f>'Analysis Summary'!$B$80:$B$83</c:f>
              <c:numCache>
                <c:formatCode>0.00</c:formatCode>
                <c:ptCount val="4"/>
                <c:pt idx="0">
                  <c:v>16.623632385120349</c:v>
                </c:pt>
                <c:pt idx="1">
                  <c:v>13.070021881838075</c:v>
                </c:pt>
                <c:pt idx="2">
                  <c:v>170.07002188183807</c:v>
                </c:pt>
                <c:pt idx="3">
                  <c:v>995.28227571115974</c:v>
                </c:pt>
              </c:numCache>
            </c:numRef>
          </c:val>
          <c:extLst>
            <c:ext xmlns:c16="http://schemas.microsoft.com/office/drawing/2014/chart" uri="{C3380CC4-5D6E-409C-BE32-E72D297353CC}">
              <c16:uniqueId val="{00000000-7918-4A76-A3A7-9AFA6E6E16C5}"/>
            </c:ext>
          </c:extLst>
        </c:ser>
        <c:dLbls>
          <c:showLegendKey val="0"/>
          <c:showVal val="0"/>
          <c:showCatName val="0"/>
          <c:showSerName val="0"/>
          <c:showPercent val="0"/>
          <c:showBubbleSize val="0"/>
        </c:dLbls>
        <c:gapWidth val="219"/>
        <c:overlap val="-27"/>
        <c:axId val="535482368"/>
        <c:axId val="50200592"/>
      </c:barChart>
      <c:catAx>
        <c:axId val="53548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i="0" u="none" strike="noStrike" baseline="0"/>
                  <a:t>Activity Type</a:t>
                </a:r>
                <a:endParaRPr lang="en-US" sz="1400"/>
              </a:p>
            </c:rich>
          </c:tx>
          <c:layout>
            <c:manualLayout>
              <c:xMode val="edge"/>
              <c:yMode val="edge"/>
              <c:x val="0.44496791397400898"/>
              <c:y val="0.889449423653039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0200592"/>
        <c:crosses val="autoZero"/>
        <c:auto val="1"/>
        <c:lblAlgn val="ctr"/>
        <c:lblOffset val="100"/>
        <c:noMultiLvlLbl val="0"/>
      </c:catAx>
      <c:valAx>
        <c:axId val="50200592"/>
        <c:scaling>
          <c:orientation val="minMax"/>
          <c:max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i="0" u="none" strike="noStrike" baseline="0"/>
                  <a:t>Average Recorded Minutes</a:t>
                </a:r>
                <a:endParaRPr lang="en-US"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3548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2000" b="1" i="0" u="none" strike="noStrike" baseline="0"/>
              <a:t>Daily Sleep Duration Distribution</a:t>
            </a:r>
          </a:p>
          <a:p>
            <a:pPr>
              <a:defRPr/>
            </a:pPr>
            <a:r>
              <a:rPr lang="ar-SA" sz="1400" b="0" i="1" u="none" strike="noStrike" baseline="0"/>
              <a:t>6–8 hours was the most common recorded sleep range</a:t>
            </a:r>
            <a:endParaRPr lang="en-US"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barChart>
        <c:barDir val="bar"/>
        <c:grouping val="clustered"/>
        <c:varyColors val="0"/>
        <c:ser>
          <c:idx val="0"/>
          <c:order val="0"/>
          <c:spPr>
            <a:solidFill>
              <a:srgbClr val="1D792A"/>
            </a:solidFill>
            <a:ln>
              <a:solidFill>
                <a:schemeClr val="accent3">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Summary'!$A$99:$A$101</c:f>
              <c:strCache>
                <c:ptCount val="3"/>
                <c:pt idx="0">
                  <c:v>Less than 6 hours</c:v>
                </c:pt>
                <c:pt idx="1">
                  <c:v>6–8 hours</c:v>
                </c:pt>
                <c:pt idx="2">
                  <c:v>More than 8 hours</c:v>
                </c:pt>
              </c:strCache>
            </c:strRef>
          </c:cat>
          <c:val>
            <c:numRef>
              <c:f>'Analysis Summary'!$B$99:$B$101</c:f>
              <c:numCache>
                <c:formatCode>General</c:formatCode>
                <c:ptCount val="3"/>
                <c:pt idx="0">
                  <c:v>147</c:v>
                </c:pt>
                <c:pt idx="1">
                  <c:v>188</c:v>
                </c:pt>
                <c:pt idx="2">
                  <c:v>132</c:v>
                </c:pt>
              </c:numCache>
            </c:numRef>
          </c:val>
          <c:extLst>
            <c:ext xmlns:c16="http://schemas.microsoft.com/office/drawing/2014/chart" uri="{C3380CC4-5D6E-409C-BE32-E72D297353CC}">
              <c16:uniqueId val="{00000000-FA81-44A9-B2F2-E9663E1F3CB7}"/>
            </c:ext>
          </c:extLst>
        </c:ser>
        <c:dLbls>
          <c:showLegendKey val="0"/>
          <c:showVal val="0"/>
          <c:showCatName val="0"/>
          <c:showSerName val="0"/>
          <c:showPercent val="0"/>
          <c:showBubbleSize val="0"/>
        </c:dLbls>
        <c:gapWidth val="219"/>
        <c:axId val="528393040"/>
        <c:axId val="50217392"/>
      </c:barChart>
      <c:catAx>
        <c:axId val="528393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i="0" u="none" strike="noStrike" baseline="0"/>
                  <a:t>Sleep Duration</a:t>
                </a:r>
                <a:endParaRPr lang="en-US"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ar-SA"/>
          </a:p>
        </c:txPr>
        <c:crossAx val="50217392"/>
        <c:crosses val="autoZero"/>
        <c:auto val="1"/>
        <c:lblAlgn val="ctr"/>
        <c:lblOffset val="100"/>
        <c:noMultiLvlLbl val="0"/>
      </c:catAx>
      <c:valAx>
        <c:axId val="50217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i="0" u="none" strike="noStrike" baseline="0"/>
                  <a:t>Number of Recorded Days</a:t>
                </a:r>
                <a:endParaRPr lang="en-US" sz="1400" b="0" i="0" u="none" strike="noStrike" kern="120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2839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2000" b="1" i="0" u="none" strike="noStrike" baseline="0"/>
              <a:t>Weekday vs. Weekend Steps</a:t>
            </a:r>
            <a:r>
              <a:rPr lang="en-US" sz="2000" b="1"/>
              <a:t> </a:t>
            </a:r>
            <a:endParaRPr lang="ar-SA" sz="2000" b="1"/>
          </a:p>
          <a:p>
            <a:pPr>
              <a:defRPr/>
            </a:pPr>
            <a:r>
              <a:rPr lang="ar-SA" sz="1400" b="0" i="1" u="none" strike="noStrike" baseline="0"/>
              <a:t>Recorded step counts were higher on weekdays than weekends</a:t>
            </a:r>
            <a:endParaRPr lang="en-US" sz="140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manualLayout>
          <c:layoutTarget val="inner"/>
          <c:xMode val="edge"/>
          <c:yMode val="edge"/>
          <c:x val="9.924774571998167E-2"/>
          <c:y val="0.19598621312055622"/>
          <c:w val="0.74892567082993811"/>
          <c:h val="0.69028760106685116"/>
        </c:manualLayout>
      </c:layout>
      <c:barChart>
        <c:barDir val="col"/>
        <c:grouping val="clustered"/>
        <c:varyColors val="0"/>
        <c:ser>
          <c:idx val="0"/>
          <c:order val="0"/>
          <c:spPr>
            <a:solidFill>
              <a:srgbClr val="C6F2CC"/>
            </a:solidFill>
            <a:ln>
              <a:solidFill>
                <a:schemeClr val="accent3">
                  <a:lumMod val="75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Summary'!$A$27:$A$28</c:f>
              <c:strCache>
                <c:ptCount val="2"/>
                <c:pt idx="0">
                  <c:v>Weekday Avg</c:v>
                </c:pt>
                <c:pt idx="1">
                  <c:v>Weekend Avg</c:v>
                </c:pt>
              </c:strCache>
            </c:strRef>
          </c:cat>
          <c:val>
            <c:numRef>
              <c:f>'Analysis Summary'!$B$27:$B$28</c:f>
              <c:numCache>
                <c:formatCode>0.00</c:formatCode>
                <c:ptCount val="2"/>
                <c:pt idx="0">
                  <c:v>6866.1067961165045</c:v>
                </c:pt>
                <c:pt idx="1">
                  <c:v>5879.405405405405</c:v>
                </c:pt>
              </c:numCache>
            </c:numRef>
          </c:val>
          <c:extLst>
            <c:ext xmlns:c16="http://schemas.microsoft.com/office/drawing/2014/chart" uri="{C3380CC4-5D6E-409C-BE32-E72D297353CC}">
              <c16:uniqueId val="{00000000-70EE-44A9-99C3-064F6826E691}"/>
            </c:ext>
          </c:extLst>
        </c:ser>
        <c:dLbls>
          <c:dLblPos val="outEnd"/>
          <c:showLegendKey val="0"/>
          <c:showVal val="1"/>
          <c:showCatName val="0"/>
          <c:showSerName val="0"/>
          <c:showPercent val="0"/>
          <c:showBubbleSize val="0"/>
        </c:dLbls>
        <c:gapWidth val="219"/>
        <c:overlap val="-27"/>
        <c:axId val="501080880"/>
        <c:axId val="199838000"/>
      </c:barChart>
      <c:catAx>
        <c:axId val="501080880"/>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i="0" u="none" strike="noStrike" baseline="0"/>
                  <a:t>Day Type</a:t>
                </a:r>
                <a:endParaRPr lang="en-US" sz="1400"/>
              </a:p>
            </c:rich>
          </c:tx>
          <c:layout>
            <c:manualLayout>
              <c:xMode val="edge"/>
              <c:yMode val="edge"/>
              <c:x val="0.42570884560186445"/>
              <c:y val="0.90235776546234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9838000"/>
        <c:crosses val="autoZero"/>
        <c:auto val="1"/>
        <c:lblAlgn val="ctr"/>
        <c:lblOffset val="100"/>
        <c:noMultiLvlLbl val="0"/>
      </c:catAx>
      <c:valAx>
        <c:axId val="19983800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a:t>Average Total Steps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0108088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1057773799575943"/>
          <c:y val="7.1207936464616151E-2"/>
          <c:w val="0.84946428093506243"/>
          <c:h val="0.82842480477866587"/>
        </c:manualLayout>
      </c:layout>
      <c:barChart>
        <c:barDir val="col"/>
        <c:grouping val="clustered"/>
        <c:varyColors val="0"/>
        <c:ser>
          <c:idx val="0"/>
          <c:order val="0"/>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69DB-44A3-A237-15396ACC2D88}"/>
              </c:ext>
            </c:extLst>
          </c:dPt>
          <c:dPt>
            <c:idx val="1"/>
            <c:invertIfNegative val="0"/>
            <c:bubble3D val="0"/>
            <c:extLst>
              <c:ext xmlns:c16="http://schemas.microsoft.com/office/drawing/2014/chart" uri="{C3380CC4-5D6E-409C-BE32-E72D297353CC}">
                <c16:uniqueId val="{00000000-69DB-44A3-A237-15396ACC2D8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Summary'!$A$27:$A$28</c:f>
              <c:strCache>
                <c:ptCount val="2"/>
                <c:pt idx="0">
                  <c:v>Weekday Avg</c:v>
                </c:pt>
                <c:pt idx="1">
                  <c:v>Weekend Avg</c:v>
                </c:pt>
              </c:strCache>
            </c:strRef>
          </c:cat>
          <c:val>
            <c:numRef>
              <c:f>'Analysis Summary'!$B$27:$B$28</c:f>
              <c:numCache>
                <c:formatCode>0.00</c:formatCode>
                <c:ptCount val="2"/>
                <c:pt idx="0">
                  <c:v>6866.1067961165045</c:v>
                </c:pt>
                <c:pt idx="1">
                  <c:v>5879.405405405405</c:v>
                </c:pt>
              </c:numCache>
            </c:numRef>
          </c:val>
          <c:extLst>
            <c:ext xmlns:c16="http://schemas.microsoft.com/office/drawing/2014/chart" uri="{C3380CC4-5D6E-409C-BE32-E72D297353CC}">
              <c16:uniqueId val="{00000000-70EE-44A9-99C3-064F6826E691}"/>
            </c:ext>
          </c:extLst>
        </c:ser>
        <c:dLbls>
          <c:dLblPos val="outEnd"/>
          <c:showLegendKey val="0"/>
          <c:showVal val="1"/>
          <c:showCatName val="0"/>
          <c:showSerName val="0"/>
          <c:showPercent val="0"/>
          <c:showBubbleSize val="0"/>
        </c:dLbls>
        <c:gapWidth val="219"/>
        <c:overlap val="-27"/>
        <c:axId val="501080880"/>
        <c:axId val="199838000"/>
      </c:barChart>
      <c:catAx>
        <c:axId val="501080880"/>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600" b="0" i="0" u="none" strike="noStrike" baseline="0"/>
                  <a:t>Day Type</a:t>
                </a:r>
                <a:endParaRPr lang="en-US" sz="1600"/>
              </a:p>
            </c:rich>
          </c:tx>
          <c:layout>
            <c:manualLayout>
              <c:xMode val="edge"/>
              <c:yMode val="edge"/>
              <c:x val="0.44081545868435845"/>
              <c:y val="0.919056153005665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1D792A">
                <a:alpha val="79000"/>
              </a:srgb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9838000"/>
        <c:crosses val="autoZero"/>
        <c:auto val="1"/>
        <c:lblAlgn val="ctr"/>
        <c:lblOffset val="100"/>
        <c:noMultiLvlLbl val="0"/>
      </c:catAx>
      <c:valAx>
        <c:axId val="199838000"/>
        <c:scaling>
          <c:orientation val="minMax"/>
          <c:max val="7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600" b="0"/>
                  <a:t>Average Total Steps</a:t>
                </a:r>
              </a:p>
            </c:rich>
          </c:tx>
          <c:layout>
            <c:manualLayout>
              <c:xMode val="edge"/>
              <c:yMode val="edge"/>
              <c:x val="9.8088778001469024E-3"/>
              <c:y val="0.274743572718056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0108088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scatterChart>
        <c:scatterStyle val="lineMarker"/>
        <c:varyColors val="0"/>
        <c:ser>
          <c:idx val="1"/>
          <c:order val="0"/>
          <c:spPr>
            <a:ln w="28575" cap="rnd">
              <a:solidFill>
                <a:schemeClr val="accent1">
                  <a:tint val="77000"/>
                </a:schemeClr>
              </a:solidFill>
              <a:round/>
            </a:ln>
            <a:effectLst/>
          </c:spPr>
          <c:marker>
            <c:symbol val="none"/>
          </c:marker>
          <c:dPt>
            <c:idx val="19"/>
            <c:marker>
              <c:symbol val="none"/>
            </c:marker>
            <c:bubble3D val="0"/>
            <c:extLst>
              <c:ext xmlns:c16="http://schemas.microsoft.com/office/drawing/2014/chart" uri="{C3380CC4-5D6E-409C-BE32-E72D297353CC}">
                <c16:uniqueId val="{00000000-6D32-4901-ACBB-F08C0DE6733D}"/>
              </c:ext>
            </c:extLst>
          </c:dPt>
          <c:dLbls>
            <c:dLbl>
              <c:idx val="19"/>
              <c:layout>
                <c:manualLayout>
                  <c:x val="-3.5161949540910592E-2"/>
                  <c:y val="-2.7502065361798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32-4901-ACBB-F08C0DE6733D}"/>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'Analysis Summary'!$A$50:$A$73</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xVal>
          <c:yVal>
            <c:numRef>
              <c:f>'Analysis Summary'!$B$50:$B$73</c:f>
              <c:numCache>
                <c:formatCode>0.00</c:formatCode>
                <c:ptCount val="24"/>
                <c:pt idx="0">
                  <c:v>44.421155729676791</c:v>
                </c:pt>
                <c:pt idx="1">
                  <c:v>20.484818805093045</c:v>
                </c:pt>
                <c:pt idx="2">
                  <c:v>10.588638589618022</c:v>
                </c:pt>
                <c:pt idx="3">
                  <c:v>7.31207065750736</c:v>
                </c:pt>
                <c:pt idx="4">
                  <c:v>9.7554027504911591</c:v>
                </c:pt>
                <c:pt idx="5">
                  <c:v>26.113077679449361</c:v>
                </c:pt>
                <c:pt idx="6">
                  <c:v>120.16437007874016</c:v>
                </c:pt>
                <c:pt idx="7">
                  <c:v>267.12031558185402</c:v>
                </c:pt>
                <c:pt idx="8">
                  <c:v>365.59643916913944</c:v>
                </c:pt>
                <c:pt idx="9">
                  <c:v>430.25841584158417</c:v>
                </c:pt>
                <c:pt idx="10">
                  <c:v>437.00499500499501</c:v>
                </c:pt>
                <c:pt idx="11">
                  <c:v>452.74523570712137</c:v>
                </c:pt>
                <c:pt idx="12">
                  <c:v>520.94477911646584</c:v>
                </c:pt>
                <c:pt idx="13">
                  <c:v>457.88253012048193</c:v>
                </c:pt>
                <c:pt idx="14">
                  <c:v>474.12449799196787</c:v>
                </c:pt>
                <c:pt idx="15">
                  <c:v>390.46934673366832</c:v>
                </c:pt>
                <c:pt idx="16">
                  <c:v>447.36683417085425</c:v>
                </c:pt>
                <c:pt idx="17">
                  <c:v>453.6639839034205</c:v>
                </c:pt>
                <c:pt idx="18">
                  <c:v>505.64652567975833</c:v>
                </c:pt>
                <c:pt idx="19">
                  <c:v>528.87814702920446</c:v>
                </c:pt>
                <c:pt idx="20">
                  <c:v>399.3178607467205</c:v>
                </c:pt>
                <c:pt idx="21">
                  <c:v>261.00908173562061</c:v>
                </c:pt>
                <c:pt idx="22">
                  <c:v>172.98383838383839</c:v>
                </c:pt>
                <c:pt idx="23">
                  <c:v>102.90182186234817</c:v>
                </c:pt>
              </c:numCache>
            </c:numRef>
          </c:yVal>
          <c:smooth val="0"/>
          <c:extLst>
            <c:ext xmlns:c16="http://schemas.microsoft.com/office/drawing/2014/chart" uri="{C3380CC4-5D6E-409C-BE32-E72D297353CC}">
              <c16:uniqueId val="{00000001-6D32-4901-ACBB-F08C0DE6733D}"/>
            </c:ext>
          </c:extLst>
        </c:ser>
        <c:ser>
          <c:idx val="0"/>
          <c:order val="1"/>
          <c:tx>
            <c:strRef>
              <c:f>'Analysis Summary'!$C$49</c:f>
              <c:strCache>
                <c:ptCount val="1"/>
                <c:pt idx="0">
                  <c:v>Peak</c:v>
                </c:pt>
              </c:strCache>
            </c:strRef>
          </c:tx>
          <c:spPr>
            <a:ln w="28575" cap="rnd">
              <a:solidFill>
                <a:schemeClr val="accent1">
                  <a:shade val="76000"/>
                </a:schemeClr>
              </a:solidFill>
              <a:round/>
            </a:ln>
            <a:effectLst/>
          </c:spPr>
          <c:marker>
            <c:symbol val="none"/>
          </c:marker>
          <c:xVal>
            <c:numRef>
              <c:f>'Analysis Summary'!$A$50</c:f>
              <c:numCache>
                <c:formatCode>General</c:formatCode>
                <c:ptCount val="1"/>
                <c:pt idx="0">
                  <c:v>0</c:v>
                </c:pt>
              </c:numCache>
            </c:numRef>
          </c:xVal>
          <c:yVal>
            <c:numRef>
              <c:f>'Analysis Summary'!$C$50</c:f>
              <c:numCache>
                <c:formatCode>General</c:formatCode>
                <c:ptCount val="1"/>
              </c:numCache>
            </c:numRef>
          </c:yVal>
          <c:smooth val="0"/>
          <c:extLst>
            <c:ext xmlns:c16="http://schemas.microsoft.com/office/drawing/2014/chart" uri="{C3380CC4-5D6E-409C-BE32-E72D297353CC}">
              <c16:uniqueId val="{00000002-6D32-4901-ACBB-F08C0DE6733D}"/>
            </c:ext>
          </c:extLst>
        </c:ser>
        <c:dLbls>
          <c:showLegendKey val="0"/>
          <c:showVal val="0"/>
          <c:showCatName val="0"/>
          <c:showSerName val="0"/>
          <c:showPercent val="0"/>
          <c:showBubbleSize val="0"/>
        </c:dLbls>
        <c:axId val="182928960"/>
        <c:axId val="1556841104"/>
      </c:scatterChart>
      <c:valAx>
        <c:axId val="182928960"/>
        <c:scaling>
          <c:orientation val="minMax"/>
          <c:max val="23"/>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ar-SA" sz="1600" b="0" i="0" u="none" strike="noStrike" baseline="0"/>
                  <a:t>Hour of Day</a:t>
                </a:r>
                <a:endParaRPr lang="en-US" sz="1600"/>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56841104"/>
        <c:crosses val="autoZero"/>
        <c:crossBetween val="midCat"/>
        <c:majorUnit val="1"/>
      </c:valAx>
      <c:valAx>
        <c:axId val="1556841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ar-SA" sz="1600" b="0" i="0" u="none" strike="noStrike" baseline="0"/>
                  <a:t>Average Steps per Hour</a:t>
                </a:r>
                <a:endParaRPr lang="en-US" sz="1600"/>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29289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'Analysis Summary'!$B$79</c:f>
              <c:strCache>
                <c:ptCount val="1"/>
                <c:pt idx="0">
                  <c:v>Average Minutes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Summary'!$A$80:$A$83</c:f>
              <c:strCache>
                <c:ptCount val="4"/>
                <c:pt idx="0">
                  <c:v>Very Active</c:v>
                </c:pt>
                <c:pt idx="1">
                  <c:v>Fairly Active</c:v>
                </c:pt>
                <c:pt idx="2">
                  <c:v>Light Active</c:v>
                </c:pt>
                <c:pt idx="3">
                  <c:v>Sedentary</c:v>
                </c:pt>
              </c:strCache>
            </c:strRef>
          </c:cat>
          <c:val>
            <c:numRef>
              <c:f>'Analysis Summary'!$B$80:$B$83</c:f>
              <c:numCache>
                <c:formatCode>0.00</c:formatCode>
                <c:ptCount val="4"/>
                <c:pt idx="0">
                  <c:v>16.623632385120349</c:v>
                </c:pt>
                <c:pt idx="1">
                  <c:v>13.070021881838075</c:v>
                </c:pt>
                <c:pt idx="2">
                  <c:v>170.07002188183807</c:v>
                </c:pt>
                <c:pt idx="3">
                  <c:v>995.28227571115974</c:v>
                </c:pt>
              </c:numCache>
            </c:numRef>
          </c:val>
          <c:extLst>
            <c:ext xmlns:c16="http://schemas.microsoft.com/office/drawing/2014/chart" uri="{C3380CC4-5D6E-409C-BE32-E72D297353CC}">
              <c16:uniqueId val="{00000000-27D8-43DC-AA9B-08337D8C06E8}"/>
            </c:ext>
          </c:extLst>
        </c:ser>
        <c:dLbls>
          <c:showLegendKey val="0"/>
          <c:showVal val="0"/>
          <c:showCatName val="0"/>
          <c:showSerName val="0"/>
          <c:showPercent val="0"/>
          <c:showBubbleSize val="0"/>
        </c:dLbls>
        <c:gapWidth val="219"/>
        <c:overlap val="-27"/>
        <c:axId val="535482368"/>
        <c:axId val="50200592"/>
      </c:barChart>
      <c:catAx>
        <c:axId val="53548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i="0" u="none" strike="noStrike" baseline="0"/>
                  <a:t>Activity Type</a:t>
                </a:r>
                <a:endParaRPr lang="en-US" sz="1400"/>
              </a:p>
            </c:rich>
          </c:tx>
          <c:layout>
            <c:manualLayout>
              <c:xMode val="edge"/>
              <c:yMode val="edge"/>
              <c:x val="0.44496791397400898"/>
              <c:y val="0.889449423653039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0200592"/>
        <c:crosses val="autoZero"/>
        <c:auto val="1"/>
        <c:lblAlgn val="ctr"/>
        <c:lblOffset val="100"/>
        <c:noMultiLvlLbl val="0"/>
      </c:catAx>
      <c:valAx>
        <c:axId val="50200592"/>
        <c:scaling>
          <c:orientation val="minMax"/>
          <c:max val="10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i="0" u="none" strike="noStrike" baseline="0"/>
                  <a:t>Average Recorded Minutes</a:t>
                </a:r>
                <a:endParaRPr lang="en-US"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3548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Summary'!$A$99:$A$101</c:f>
              <c:strCache>
                <c:ptCount val="3"/>
                <c:pt idx="0">
                  <c:v>Less than 6 hours</c:v>
                </c:pt>
                <c:pt idx="1">
                  <c:v>6–8 hours</c:v>
                </c:pt>
                <c:pt idx="2">
                  <c:v>More than 8 hours</c:v>
                </c:pt>
              </c:strCache>
            </c:strRef>
          </c:cat>
          <c:val>
            <c:numRef>
              <c:f>'Analysis Summary'!$B$99:$B$101</c:f>
              <c:numCache>
                <c:formatCode>General</c:formatCode>
                <c:ptCount val="3"/>
                <c:pt idx="0">
                  <c:v>147</c:v>
                </c:pt>
                <c:pt idx="1">
                  <c:v>188</c:v>
                </c:pt>
                <c:pt idx="2">
                  <c:v>132</c:v>
                </c:pt>
              </c:numCache>
            </c:numRef>
          </c:val>
          <c:extLst>
            <c:ext xmlns:c16="http://schemas.microsoft.com/office/drawing/2014/chart" uri="{C3380CC4-5D6E-409C-BE32-E72D297353CC}">
              <c16:uniqueId val="{00000000-B75C-413D-AF32-21CD5F8DF507}"/>
            </c:ext>
          </c:extLst>
        </c:ser>
        <c:dLbls>
          <c:showLegendKey val="0"/>
          <c:showVal val="0"/>
          <c:showCatName val="0"/>
          <c:showSerName val="0"/>
          <c:showPercent val="0"/>
          <c:showBubbleSize val="0"/>
        </c:dLbls>
        <c:gapWidth val="219"/>
        <c:axId val="528393040"/>
        <c:axId val="50217392"/>
      </c:barChart>
      <c:catAx>
        <c:axId val="528393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i="0" u="none" strike="noStrike" baseline="0"/>
                  <a:t>Sleep Duration</a:t>
                </a:r>
                <a:endParaRPr lang="en-US"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ar-SA"/>
          </a:p>
        </c:txPr>
        <c:crossAx val="50217392"/>
        <c:crosses val="autoZero"/>
        <c:auto val="1"/>
        <c:lblAlgn val="ctr"/>
        <c:lblOffset val="100"/>
        <c:noMultiLvlLbl val="0"/>
      </c:catAx>
      <c:valAx>
        <c:axId val="5021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SA" sz="1400" b="0" i="0" u="none" strike="noStrike" baseline="0"/>
                  <a:t>Number of Recorded Days</a:t>
                </a:r>
                <a:endParaRPr lang="en-US" sz="1400" b="0" i="0" u="none" strike="noStrike" kern="120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2839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sz="2000"/>
            </a:pPr>
            <a:r>
              <a:rPr lang="ar-SA" sz="2000" b="1"/>
              <a:t>Daily Step Count Distribution</a:t>
            </a:r>
          </a:p>
          <a:p>
            <a:pPr algn="ctr" rtl="0">
              <a:defRPr sz="2000"/>
            </a:pPr>
            <a:r>
              <a:rPr lang="ar-SA" sz="1400" i="1"/>
              <a:t>Most recorded days were concentrated in the lower step-count ranges</a:t>
            </a:r>
            <a:endParaRPr lang="en-US" sz="1400" b="0" i="1" u="none" strike="noStrike" baseline="0">
              <a:solidFill>
                <a:sysClr val="windowText" lastClr="000000">
                  <a:lumMod val="65000"/>
                  <a:lumOff val="35000"/>
                </a:sysClr>
              </a:solidFill>
              <a:latin typeface="Aptos Narrow" panose="02110004020202020204"/>
            </a:endParaRPr>
          </a:p>
        </cx:rich>
      </cx:tx>
      <cx:extLst>
        <cx:ext uri="ext:featex">
          <cx:featureExtension feature="mp" drop="onModelChange">
            <cx:offset top="0.045686788856983185" left="0.018275372684001923"/>
          </cx:featureExtension>
        </cx:ext>
      </cx:extLst>
    </cx:title>
    <cx:plotArea>
      <cx:plotAreaRegion>
        <cx:series layoutId="clusteredColumn" uniqueId="{00000000-13E7-49FE-9D10-F948BAEFDA15}">
          <cx:spPr>
            <a:solidFill>
              <a:srgbClr val="1D792A"/>
            </a:solidFill>
            <a:ln>
              <a:solidFill>
                <a:schemeClr val="accent3">
                  <a:lumMod val="75000"/>
                </a:schemeClr>
              </a:solidFill>
            </a:ln>
          </cx:spPr>
          <cx:dataId val="0"/>
          <cx:layoutPr>
            <cx:binning intervalClosed="r"/>
          </cx:layoutPr>
        </cx:series>
      </cx:plotAreaRegion>
      <cx:axis id="0">
        <cx:catScaling gapWidth="0"/>
        <cx:title>
          <cx:tx>
            <cx:rich>
              <a:bodyPr spcFirstLastPara="1" vertOverflow="ellipsis" horzOverflow="overflow" wrap="square" lIns="0" tIns="0" rIns="0" bIns="0" anchor="ctr" anchorCtr="1"/>
              <a:lstStyle/>
              <a:p>
                <a:pPr algn="ctr" rtl="0">
                  <a:defRPr sz="1600"/>
                </a:pPr>
                <a:r>
                  <a:rPr lang="ar-SA" sz="1600"/>
                  <a:t>Total Steps</a:t>
                </a:r>
                <a:endParaRPr lang="en-US" sz="1600" b="0" i="0" u="none" strike="noStrike" baseline="0">
                  <a:solidFill>
                    <a:sysClr val="windowText" lastClr="000000">
                      <a:lumMod val="65000"/>
                      <a:lumOff val="35000"/>
                    </a:sysClr>
                  </a:solidFill>
                  <a:latin typeface="Aptos Narrow" panose="02110004020202020204"/>
                </a:endParaRPr>
              </a:p>
            </cx:rich>
          </cx:tx>
        </cx:title>
        <cx:tickLabels/>
      </cx:axis>
      <cx:axis id="1">
        <cx:valScaling max="140"/>
        <cx:title>
          <cx:tx>
            <cx:rich>
              <a:bodyPr spcFirstLastPara="1" vertOverflow="ellipsis" horzOverflow="overflow" wrap="square" lIns="0" tIns="0" rIns="0" bIns="0" anchor="ctr" anchorCtr="1"/>
              <a:lstStyle/>
              <a:p>
                <a:pPr algn="ctr" rtl="0">
                  <a:defRPr sz="1600"/>
                </a:pPr>
                <a:r>
                  <a:rPr lang="ar-SA" sz="1600"/>
                  <a:t>Number of Recorded Days</a:t>
                </a:r>
                <a:endParaRPr lang="en-US" sz="1600" b="0" i="0" u="none" strike="noStrike" baseline="0">
                  <a:solidFill>
                    <a:sysClr val="windowText" lastClr="000000">
                      <a:lumMod val="65000"/>
                      <a:lumOff val="35000"/>
                    </a:sysClr>
                  </a:solidFill>
                  <a:latin typeface="Aptos Narrow" panose="02110004020202020204"/>
                </a:endParaRPr>
              </a:p>
            </cx:rich>
          </cx:tx>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00000000-13E7-49FE-9D10-F948BAEFDA15}">
          <cx:dataId val="0"/>
          <cx:layoutPr>
            <cx:binning intervalClosed="r"/>
          </cx:layoutPr>
        </cx:series>
      </cx:plotAreaRegion>
      <cx:axis id="0">
        <cx:catScaling gapWidth="0"/>
        <cx:title>
          <cx:tx>
            <cx:rich>
              <a:bodyPr spcFirstLastPara="1" vertOverflow="ellipsis" horzOverflow="overflow" wrap="square" lIns="0" tIns="0" rIns="0" bIns="0" anchor="ctr" anchorCtr="1"/>
              <a:lstStyle/>
              <a:p>
                <a:pPr algn="ctr" rtl="0">
                  <a:defRPr sz="1600"/>
                </a:pPr>
                <a:r>
                  <a:rPr lang="ar-SA" sz="1600"/>
                  <a:t>Total Steps</a:t>
                </a:r>
                <a:endParaRPr lang="en-US" sz="1600" b="0" i="0" u="none" strike="noStrike" baseline="0">
                  <a:solidFill>
                    <a:sysClr val="windowText" lastClr="000000">
                      <a:lumMod val="65000"/>
                      <a:lumOff val="35000"/>
                    </a:sysClr>
                  </a:solidFill>
                  <a:latin typeface="Aptos Narrow" panose="02110004020202020204"/>
                </a:endParaRPr>
              </a:p>
            </cx:rich>
          </cx:tx>
        </cx:title>
        <cx:tickLabels/>
      </cx:axis>
      <cx:axis id="1">
        <cx:valScaling max="140"/>
        <cx:title>
          <cx:tx>
            <cx:rich>
              <a:bodyPr spcFirstLastPara="1" vertOverflow="ellipsis" horzOverflow="overflow" wrap="square" lIns="0" tIns="0" rIns="0" bIns="0" anchor="ctr" anchorCtr="1"/>
              <a:lstStyle/>
              <a:p>
                <a:pPr algn="ctr" rtl="0">
                  <a:defRPr sz="1600"/>
                </a:pPr>
                <a:r>
                  <a:rPr lang="ar-SA" sz="1600"/>
                  <a:t>Number of Recorded Days</a:t>
                </a:r>
                <a:endParaRPr lang="en-US" sz="1600" b="0" i="0" u="none" strike="noStrike" baseline="0">
                  <a:solidFill>
                    <a:sysClr val="windowText" lastClr="000000">
                      <a:lumMod val="65000"/>
                      <a:lumOff val="35000"/>
                    </a:sysClr>
                  </a:solidFill>
                  <a:latin typeface="Aptos Narrow" panose="02110004020202020204"/>
                </a:endParaRPr>
              </a:p>
            </cx:rich>
          </cx:tx>
        </cx:title>
        <cx:majorGridlines/>
        <cx:tickLabels/>
      </cx:axis>
    </cx:plotArea>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2.xml"/><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389658</xdr:colOff>
      <xdr:row>35</xdr:row>
      <xdr:rowOff>25977</xdr:rowOff>
    </xdr:from>
    <xdr:to>
      <xdr:col>2</xdr:col>
      <xdr:colOff>3702098</xdr:colOff>
      <xdr:row>44</xdr:row>
      <xdr:rowOff>14217</xdr:rowOff>
    </xdr:to>
    <xdr:graphicFrame macro="">
      <xdr:nvGraphicFramePr>
        <xdr:cNvPr id="3" name="Chart 2">
          <a:extLst>
            <a:ext uri="{FF2B5EF4-FFF2-40B4-BE49-F238E27FC236}">
              <a16:creationId xmlns:a16="http://schemas.microsoft.com/office/drawing/2014/main" id="{F81EDA79-1FD7-0371-1A55-3AE481A28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5427228</xdr:colOff>
      <xdr:row>27</xdr:row>
      <xdr:rowOff>160379</xdr:rowOff>
    </xdr:from>
    <xdr:to>
      <xdr:col>12</xdr:col>
      <xdr:colOff>334863</xdr:colOff>
      <xdr:row>49</xdr:row>
      <xdr:rowOff>59530</xdr:rowOff>
    </xdr:to>
    <xdr:graphicFrame macro="">
      <xdr:nvGraphicFramePr>
        <xdr:cNvPr id="4" name="Chart 3">
          <a:extLst>
            <a:ext uri="{FF2B5EF4-FFF2-40B4-BE49-F238E27FC236}">
              <a16:creationId xmlns:a16="http://schemas.microsoft.com/office/drawing/2014/main" id="{B2711E09-4718-4499-7781-1FE4F8357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34017</xdr:colOff>
      <xdr:row>27</xdr:row>
      <xdr:rowOff>159921</xdr:rowOff>
    </xdr:from>
    <xdr:to>
      <xdr:col>22</xdr:col>
      <xdr:colOff>453571</xdr:colOff>
      <xdr:row>49</xdr:row>
      <xdr:rowOff>56696</xdr:rowOff>
    </xdr:to>
    <xdr:graphicFrame macro="">
      <xdr:nvGraphicFramePr>
        <xdr:cNvPr id="5" name="Chart 4">
          <a:extLst>
            <a:ext uri="{FF2B5EF4-FFF2-40B4-BE49-F238E27FC236}">
              <a16:creationId xmlns:a16="http://schemas.microsoft.com/office/drawing/2014/main" id="{2C18CCED-6A9F-2F84-33C3-3B38982D1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34830</xdr:colOff>
      <xdr:row>50</xdr:row>
      <xdr:rowOff>39586</xdr:rowOff>
    </xdr:from>
    <xdr:to>
      <xdr:col>12</xdr:col>
      <xdr:colOff>413217</xdr:colOff>
      <xdr:row>69</xdr:row>
      <xdr:rowOff>140073</xdr:rowOff>
    </xdr:to>
    <xdr:graphicFrame macro="">
      <xdr:nvGraphicFramePr>
        <xdr:cNvPr id="6" name="Chart 5">
          <a:extLst>
            <a:ext uri="{FF2B5EF4-FFF2-40B4-BE49-F238E27FC236}">
              <a16:creationId xmlns:a16="http://schemas.microsoft.com/office/drawing/2014/main" id="{B93F62FE-1B31-2916-9DF6-703C2A28C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5429958</xdr:colOff>
      <xdr:row>4</xdr:row>
      <xdr:rowOff>56867</xdr:rowOff>
    </xdr:from>
    <xdr:to>
      <xdr:col>12</xdr:col>
      <xdr:colOff>312538</xdr:colOff>
      <xdr:row>27</xdr:row>
      <xdr:rowOff>7440</xdr:rowOff>
    </xdr:to>
    <xdr:graphicFrame macro="">
      <xdr:nvGraphicFramePr>
        <xdr:cNvPr id="7" name="Chart 6">
          <a:extLst>
            <a:ext uri="{FF2B5EF4-FFF2-40B4-BE49-F238E27FC236}">
              <a16:creationId xmlns:a16="http://schemas.microsoft.com/office/drawing/2014/main" id="{CB3250FB-52AB-5D42-016F-582A799A9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677170</xdr:colOff>
      <xdr:row>5</xdr:row>
      <xdr:rowOff>14884</xdr:rowOff>
    </xdr:from>
    <xdr:to>
      <xdr:col>24</xdr:col>
      <xdr:colOff>565547</xdr:colOff>
      <xdr:row>27</xdr:row>
      <xdr:rowOff>7441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85A39790-7DBC-4FB9-8C84-2E6B7C0221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307570" y="1038822"/>
              <a:ext cx="8117977" cy="3778744"/>
            </a:xfrm>
            <a:prstGeom prst="rect">
              <a:avLst/>
            </a:prstGeom>
            <a:solidFill>
              <a:prstClr val="white"/>
            </a:solidFill>
            <a:ln w="1">
              <a:solidFill>
                <a:prstClr val="green"/>
              </a:solidFill>
            </a:ln>
          </xdr:spPr>
          <xdr:txBody>
            <a:bodyPr vertOverflow="clip" horzOverflow="clip"/>
            <a:lstStyle/>
            <a:p>
              <a:r>
                <a:rPr lang="ar-S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31450</xdr:colOff>
      <xdr:row>4</xdr:row>
      <xdr:rowOff>0</xdr:rowOff>
    </xdr:from>
    <xdr:to>
      <xdr:col>9</xdr:col>
      <xdr:colOff>549318</xdr:colOff>
      <xdr:row>26</xdr:row>
      <xdr:rowOff>9158</xdr:rowOff>
    </xdr:to>
    <xdr:graphicFrame macro="">
      <xdr:nvGraphicFramePr>
        <xdr:cNvPr id="2" name="Chart 1">
          <a:extLst>
            <a:ext uri="{FF2B5EF4-FFF2-40B4-BE49-F238E27FC236}">
              <a16:creationId xmlns:a16="http://schemas.microsoft.com/office/drawing/2014/main" id="{3DA9763D-F475-4556-BACD-F1D1DDE09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6614</xdr:colOff>
      <xdr:row>4</xdr:row>
      <xdr:rowOff>9159</xdr:rowOff>
    </xdr:from>
    <xdr:to>
      <xdr:col>20</xdr:col>
      <xdr:colOff>595312</xdr:colOff>
      <xdr:row>26</xdr:row>
      <xdr:rowOff>27476</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C64E400-507E-4065-A96E-1D798EC0A3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864614" y="914034"/>
              <a:ext cx="7446698" cy="3790217"/>
            </a:xfrm>
            <a:prstGeom prst="rect">
              <a:avLst/>
            </a:prstGeom>
            <a:solidFill>
              <a:prstClr val="white"/>
            </a:solidFill>
            <a:ln w="1">
              <a:solidFill>
                <a:prstClr val="green"/>
              </a:solidFill>
            </a:ln>
          </xdr:spPr>
          <xdr:txBody>
            <a:bodyPr vertOverflow="clip" horzOverflow="clip"/>
            <a:lstStyle/>
            <a:p>
              <a:r>
                <a:rPr lang="ar-S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44927</xdr:colOff>
      <xdr:row>27</xdr:row>
      <xdr:rowOff>35542</xdr:rowOff>
    </xdr:from>
    <xdr:to>
      <xdr:col>20</xdr:col>
      <xdr:colOff>664764</xdr:colOff>
      <xdr:row>49</xdr:row>
      <xdr:rowOff>0</xdr:rowOff>
    </xdr:to>
    <xdr:graphicFrame macro="">
      <xdr:nvGraphicFramePr>
        <xdr:cNvPr id="6" name="Chart 5">
          <a:extLst>
            <a:ext uri="{FF2B5EF4-FFF2-40B4-BE49-F238E27FC236}">
              <a16:creationId xmlns:a16="http://schemas.microsoft.com/office/drawing/2014/main" id="{87599A93-BEC0-476B-BDB5-63B83093D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33226</xdr:colOff>
      <xdr:row>50</xdr:row>
      <xdr:rowOff>128774</xdr:rowOff>
    </xdr:from>
    <xdr:to>
      <xdr:col>9</xdr:col>
      <xdr:colOff>608876</xdr:colOff>
      <xdr:row>73</xdr:row>
      <xdr:rowOff>6028</xdr:rowOff>
    </xdr:to>
    <xdr:graphicFrame macro="">
      <xdr:nvGraphicFramePr>
        <xdr:cNvPr id="7" name="Chart 6">
          <a:extLst>
            <a:ext uri="{FF2B5EF4-FFF2-40B4-BE49-F238E27FC236}">
              <a16:creationId xmlns:a16="http://schemas.microsoft.com/office/drawing/2014/main" id="{2C8843CE-35FB-4AE8-984D-587E5F975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210505</xdr:colOff>
      <xdr:row>50</xdr:row>
      <xdr:rowOff>164532</xdr:rowOff>
    </xdr:from>
    <xdr:to>
      <xdr:col>21</xdr:col>
      <xdr:colOff>19842</xdr:colOff>
      <xdr:row>72</xdr:row>
      <xdr:rowOff>150712</xdr:rowOff>
    </xdr:to>
    <xdr:graphicFrame macro="">
      <xdr:nvGraphicFramePr>
        <xdr:cNvPr id="8" name="Chart 7">
          <a:extLst>
            <a:ext uri="{FF2B5EF4-FFF2-40B4-BE49-F238E27FC236}">
              <a16:creationId xmlns:a16="http://schemas.microsoft.com/office/drawing/2014/main" id="{95C5394D-3CD0-458B-8EC4-006B7B00D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66b01f52b9e5bd6/Desktop/minuteSleep.xlsx" TargetMode="External"/><Relationship Id="rId1" Type="http://schemas.openxmlformats.org/officeDocument/2006/relationships/externalLinkPath" Target="minuteSlee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Daily Sleep"/>
      <sheetName val="minuteSleep_Cleaning"/>
      <sheetName val="Orignal"/>
    </sheetNames>
    <sheetDataSet>
      <sheetData sheetId="0"/>
      <sheetData sheetId="1">
        <row r="2">
          <cell r="A2">
            <v>1503960366</v>
          </cell>
          <cell r="B2">
            <v>42442</v>
          </cell>
          <cell r="D2">
            <v>6.85</v>
          </cell>
        </row>
        <row r="3">
          <cell r="A3">
            <v>1503960366</v>
          </cell>
          <cell r="B3">
            <v>42443</v>
          </cell>
          <cell r="D3">
            <v>5.9</v>
          </cell>
        </row>
        <row r="4">
          <cell r="A4">
            <v>1503960366</v>
          </cell>
          <cell r="B4">
            <v>42444</v>
          </cell>
          <cell r="D4">
            <v>5.2</v>
          </cell>
        </row>
        <row r="5">
          <cell r="A5">
            <v>1503960366</v>
          </cell>
          <cell r="B5">
            <v>42445</v>
          </cell>
          <cell r="D5">
            <v>5.55</v>
          </cell>
        </row>
        <row r="6">
          <cell r="A6">
            <v>1503960366</v>
          </cell>
          <cell r="B6">
            <v>42446</v>
          </cell>
          <cell r="D6">
            <v>6.7</v>
          </cell>
        </row>
        <row r="7">
          <cell r="A7">
            <v>1503960366</v>
          </cell>
          <cell r="B7">
            <v>42447</v>
          </cell>
          <cell r="D7">
            <v>6.3166666666666664</v>
          </cell>
        </row>
        <row r="8">
          <cell r="A8">
            <v>1503960366</v>
          </cell>
          <cell r="B8">
            <v>42448</v>
          </cell>
          <cell r="D8">
            <v>7.45</v>
          </cell>
        </row>
        <row r="9">
          <cell r="A9">
            <v>1503960366</v>
          </cell>
          <cell r="B9">
            <v>42449</v>
          </cell>
          <cell r="D9">
            <v>7.8166666666666664</v>
          </cell>
        </row>
        <row r="10">
          <cell r="A10">
            <v>1503960366</v>
          </cell>
          <cell r="B10">
            <v>42450</v>
          </cell>
          <cell r="D10">
            <v>6.5</v>
          </cell>
        </row>
        <row r="11">
          <cell r="A11">
            <v>1503960366</v>
          </cell>
          <cell r="B11">
            <v>42452</v>
          </cell>
          <cell r="D11">
            <v>4.6833333333333336</v>
          </cell>
        </row>
        <row r="12">
          <cell r="A12">
            <v>1503960366</v>
          </cell>
          <cell r="B12">
            <v>42453</v>
          </cell>
          <cell r="D12">
            <v>5.05</v>
          </cell>
        </row>
        <row r="13">
          <cell r="A13">
            <v>1503960366</v>
          </cell>
          <cell r="B13">
            <v>42454</v>
          </cell>
          <cell r="D13">
            <v>5.85</v>
          </cell>
        </row>
        <row r="14">
          <cell r="A14">
            <v>1503960366</v>
          </cell>
          <cell r="B14">
            <v>42455</v>
          </cell>
          <cell r="D14">
            <v>7.2833333333333332</v>
          </cell>
        </row>
        <row r="15">
          <cell r="A15">
            <v>1503960366</v>
          </cell>
          <cell r="B15">
            <v>42456</v>
          </cell>
          <cell r="D15">
            <v>8.0500000000000007</v>
          </cell>
        </row>
        <row r="16">
          <cell r="A16">
            <v>1503960366</v>
          </cell>
          <cell r="B16">
            <v>42457</v>
          </cell>
          <cell r="D16">
            <v>1.2166666666666666</v>
          </cell>
        </row>
        <row r="17">
          <cell r="A17">
            <v>1503960366</v>
          </cell>
          <cell r="B17">
            <v>42458</v>
          </cell>
          <cell r="D17">
            <v>5.8166666666666664</v>
          </cell>
        </row>
        <row r="18">
          <cell r="A18">
            <v>1503960366</v>
          </cell>
          <cell r="B18">
            <v>42460</v>
          </cell>
          <cell r="D18">
            <v>5.1333333333333337</v>
          </cell>
        </row>
        <row r="19">
          <cell r="A19">
            <v>1503960366</v>
          </cell>
          <cell r="B19">
            <v>42461</v>
          </cell>
          <cell r="D19">
            <v>4.7166666666666668</v>
          </cell>
        </row>
        <row r="20">
          <cell r="A20">
            <v>1503960366</v>
          </cell>
          <cell r="B20">
            <v>42462</v>
          </cell>
          <cell r="D20">
            <v>7.3166666666666664</v>
          </cell>
        </row>
        <row r="21">
          <cell r="A21">
            <v>1503960366</v>
          </cell>
          <cell r="B21">
            <v>42463</v>
          </cell>
          <cell r="D21">
            <v>6.3166666666666664</v>
          </cell>
        </row>
        <row r="22">
          <cell r="A22">
            <v>1503960366</v>
          </cell>
          <cell r="B22">
            <v>42464</v>
          </cell>
          <cell r="D22">
            <v>4.9000000000000004</v>
          </cell>
        </row>
        <row r="23">
          <cell r="A23">
            <v>1503960366</v>
          </cell>
          <cell r="B23">
            <v>42465</v>
          </cell>
          <cell r="D23">
            <v>4.666666666666667</v>
          </cell>
        </row>
        <row r="24">
          <cell r="A24">
            <v>1503960366</v>
          </cell>
          <cell r="B24">
            <v>42469</v>
          </cell>
          <cell r="D24">
            <v>6.333333333333333</v>
          </cell>
        </row>
        <row r="25">
          <cell r="A25">
            <v>1503960366</v>
          </cell>
          <cell r="B25">
            <v>42470</v>
          </cell>
          <cell r="D25">
            <v>7.583333333333333</v>
          </cell>
        </row>
        <row r="26">
          <cell r="A26">
            <v>1503960366</v>
          </cell>
          <cell r="B26">
            <v>42471</v>
          </cell>
          <cell r="D26">
            <v>5.166666666666667</v>
          </cell>
        </row>
        <row r="27">
          <cell r="A27">
            <v>1644430081</v>
          </cell>
          <cell r="B27">
            <v>42456</v>
          </cell>
          <cell r="D27">
            <v>6.2166666666666668</v>
          </cell>
        </row>
        <row r="28">
          <cell r="A28">
            <v>1644430081</v>
          </cell>
          <cell r="B28">
            <v>42457</v>
          </cell>
          <cell r="D28">
            <v>7.7666666666666666</v>
          </cell>
        </row>
        <row r="29">
          <cell r="A29">
            <v>1644430081</v>
          </cell>
          <cell r="B29">
            <v>42458</v>
          </cell>
          <cell r="D29">
            <v>0.93333333333333335</v>
          </cell>
        </row>
        <row r="30">
          <cell r="A30">
            <v>1644430081</v>
          </cell>
          <cell r="B30">
            <v>42459</v>
          </cell>
          <cell r="D30">
            <v>8.9666666666666668</v>
          </cell>
        </row>
        <row r="31">
          <cell r="A31">
            <v>1844505072</v>
          </cell>
          <cell r="B31">
            <v>42463</v>
          </cell>
          <cell r="D31">
            <v>2.8166666666666669</v>
          </cell>
        </row>
        <row r="32">
          <cell r="A32">
            <v>1844505072</v>
          </cell>
          <cell r="B32">
            <v>42464</v>
          </cell>
          <cell r="D32">
            <v>12.85</v>
          </cell>
        </row>
        <row r="33">
          <cell r="A33">
            <v>1844505072</v>
          </cell>
          <cell r="B33">
            <v>42469</v>
          </cell>
          <cell r="D33">
            <v>3.6833333333333331</v>
          </cell>
        </row>
        <row r="34">
          <cell r="A34">
            <v>1844505072</v>
          </cell>
          <cell r="B34">
            <v>42470</v>
          </cell>
          <cell r="D34">
            <v>4.6166666666666663</v>
          </cell>
        </row>
        <row r="35">
          <cell r="A35">
            <v>1927972279</v>
          </cell>
          <cell r="B35">
            <v>42440</v>
          </cell>
          <cell r="D35">
            <v>0.48333333333333334</v>
          </cell>
        </row>
        <row r="36">
          <cell r="A36">
            <v>1927972279</v>
          </cell>
          <cell r="B36">
            <v>42441</v>
          </cell>
          <cell r="D36">
            <v>10.133333333333333</v>
          </cell>
        </row>
        <row r="37">
          <cell r="A37">
            <v>1927972279</v>
          </cell>
          <cell r="B37">
            <v>42442</v>
          </cell>
          <cell r="D37">
            <v>8.4166666666666661</v>
          </cell>
        </row>
        <row r="38">
          <cell r="A38">
            <v>1927972279</v>
          </cell>
          <cell r="B38">
            <v>42443</v>
          </cell>
          <cell r="D38">
            <v>2.8833333333333333</v>
          </cell>
        </row>
        <row r="39">
          <cell r="A39">
            <v>1927972279</v>
          </cell>
          <cell r="B39">
            <v>42444</v>
          </cell>
          <cell r="D39">
            <v>1.1333333333333333</v>
          </cell>
        </row>
        <row r="40">
          <cell r="A40">
            <v>1927972279</v>
          </cell>
          <cell r="B40">
            <v>42445</v>
          </cell>
          <cell r="D40">
            <v>9.9833333333333325</v>
          </cell>
        </row>
        <row r="41">
          <cell r="A41">
            <v>1927972279</v>
          </cell>
          <cell r="B41">
            <v>42446</v>
          </cell>
          <cell r="D41">
            <v>0.1</v>
          </cell>
        </row>
        <row r="42">
          <cell r="A42">
            <v>1927972279</v>
          </cell>
          <cell r="B42">
            <v>42447</v>
          </cell>
          <cell r="D42">
            <v>8.7166666666666668</v>
          </cell>
        </row>
        <row r="43">
          <cell r="A43">
            <v>1927972279</v>
          </cell>
          <cell r="B43">
            <v>42448</v>
          </cell>
          <cell r="D43">
            <v>9.7166666666666668</v>
          </cell>
        </row>
        <row r="44">
          <cell r="A44">
            <v>1927972279</v>
          </cell>
          <cell r="B44">
            <v>42449</v>
          </cell>
          <cell r="D44">
            <v>9.1333333333333329</v>
          </cell>
        </row>
        <row r="45">
          <cell r="A45">
            <v>1927972279</v>
          </cell>
          <cell r="B45">
            <v>42450</v>
          </cell>
          <cell r="D45">
            <v>5.5666666666666664</v>
          </cell>
        </row>
        <row r="46">
          <cell r="A46">
            <v>1927972279</v>
          </cell>
          <cell r="B46">
            <v>42451</v>
          </cell>
          <cell r="D46">
            <v>6.3166666666666664</v>
          </cell>
        </row>
        <row r="47">
          <cell r="A47">
            <v>1927972279</v>
          </cell>
          <cell r="B47">
            <v>42452</v>
          </cell>
          <cell r="D47">
            <v>7.45</v>
          </cell>
        </row>
        <row r="48">
          <cell r="A48">
            <v>1927972279</v>
          </cell>
          <cell r="B48">
            <v>42453</v>
          </cell>
          <cell r="D48">
            <v>7.1333333333333337</v>
          </cell>
        </row>
        <row r="49">
          <cell r="A49">
            <v>1927972279</v>
          </cell>
          <cell r="B49">
            <v>42454</v>
          </cell>
          <cell r="D49">
            <v>1</v>
          </cell>
        </row>
        <row r="50">
          <cell r="A50">
            <v>1927972279</v>
          </cell>
          <cell r="B50">
            <v>42455</v>
          </cell>
          <cell r="D50">
            <v>6.45</v>
          </cell>
        </row>
        <row r="51">
          <cell r="A51">
            <v>1927972279</v>
          </cell>
          <cell r="B51">
            <v>42456</v>
          </cell>
          <cell r="D51">
            <v>1.8666666666666667</v>
          </cell>
        </row>
        <row r="52">
          <cell r="A52">
            <v>1927972279</v>
          </cell>
          <cell r="B52">
            <v>42457</v>
          </cell>
          <cell r="D52">
            <v>3.65</v>
          </cell>
        </row>
        <row r="53">
          <cell r="A53">
            <v>1927972279</v>
          </cell>
          <cell r="B53">
            <v>42458</v>
          </cell>
          <cell r="D53">
            <v>9.3833333333333329</v>
          </cell>
        </row>
        <row r="54">
          <cell r="A54">
            <v>1927972279</v>
          </cell>
          <cell r="B54">
            <v>42459</v>
          </cell>
          <cell r="D54">
            <v>6.6833333333333336</v>
          </cell>
        </row>
        <row r="55">
          <cell r="A55">
            <v>1927972279</v>
          </cell>
          <cell r="B55">
            <v>42460</v>
          </cell>
          <cell r="D55">
            <v>8.2166666666666668</v>
          </cell>
        </row>
        <row r="56">
          <cell r="A56">
            <v>1927972279</v>
          </cell>
          <cell r="B56">
            <v>42461</v>
          </cell>
          <cell r="D56">
            <v>6.15</v>
          </cell>
        </row>
        <row r="57">
          <cell r="A57">
            <v>1927972279</v>
          </cell>
          <cell r="B57">
            <v>42462</v>
          </cell>
          <cell r="D57">
            <v>4.666666666666667</v>
          </cell>
        </row>
        <row r="58">
          <cell r="A58">
            <v>1927972279</v>
          </cell>
          <cell r="B58">
            <v>42463</v>
          </cell>
          <cell r="D58">
            <v>1.7833333333333334</v>
          </cell>
        </row>
        <row r="59">
          <cell r="A59">
            <v>1927972279</v>
          </cell>
          <cell r="B59">
            <v>42464</v>
          </cell>
          <cell r="D59">
            <v>7.75</v>
          </cell>
        </row>
        <row r="60">
          <cell r="A60">
            <v>1927972279</v>
          </cell>
          <cell r="B60">
            <v>42465</v>
          </cell>
          <cell r="D60">
            <v>6.55</v>
          </cell>
        </row>
        <row r="61">
          <cell r="A61">
            <v>1927972279</v>
          </cell>
          <cell r="B61">
            <v>42466</v>
          </cell>
          <cell r="D61">
            <v>6.9</v>
          </cell>
        </row>
        <row r="62">
          <cell r="A62">
            <v>1927972279</v>
          </cell>
          <cell r="B62">
            <v>42469</v>
          </cell>
          <cell r="D62">
            <v>0.65</v>
          </cell>
        </row>
        <row r="63">
          <cell r="A63">
            <v>1927972279</v>
          </cell>
          <cell r="B63">
            <v>42470</v>
          </cell>
          <cell r="D63">
            <v>7.9833333333333334</v>
          </cell>
        </row>
        <row r="64">
          <cell r="A64">
            <v>1927972279</v>
          </cell>
          <cell r="B64">
            <v>42471</v>
          </cell>
          <cell r="D64">
            <v>8.2666666666666675</v>
          </cell>
        </row>
        <row r="65">
          <cell r="A65">
            <v>1927972279</v>
          </cell>
          <cell r="B65">
            <v>42472</v>
          </cell>
          <cell r="D65">
            <v>8.0333333333333332</v>
          </cell>
        </row>
        <row r="66">
          <cell r="A66">
            <v>2022484408</v>
          </cell>
          <cell r="B66">
            <v>42442</v>
          </cell>
          <cell r="D66">
            <v>2.25</v>
          </cell>
        </row>
        <row r="67">
          <cell r="A67">
            <v>2026352035</v>
          </cell>
          <cell r="B67">
            <v>42440</v>
          </cell>
          <cell r="D67">
            <v>2.1</v>
          </cell>
        </row>
        <row r="68">
          <cell r="A68">
            <v>2026352035</v>
          </cell>
          <cell r="B68">
            <v>42441</v>
          </cell>
          <cell r="D68">
            <v>9</v>
          </cell>
        </row>
        <row r="69">
          <cell r="A69">
            <v>2026352035</v>
          </cell>
          <cell r="B69">
            <v>42442</v>
          </cell>
          <cell r="D69">
            <v>10.8</v>
          </cell>
        </row>
        <row r="70">
          <cell r="A70">
            <v>2026352035</v>
          </cell>
          <cell r="B70">
            <v>42443</v>
          </cell>
          <cell r="D70">
            <v>8.5</v>
          </cell>
        </row>
        <row r="71">
          <cell r="A71">
            <v>2026352035</v>
          </cell>
          <cell r="B71">
            <v>42444</v>
          </cell>
          <cell r="D71">
            <v>7.0333333333333332</v>
          </cell>
        </row>
        <row r="72">
          <cell r="A72">
            <v>2026352035</v>
          </cell>
          <cell r="B72">
            <v>42445</v>
          </cell>
          <cell r="D72">
            <v>2.4</v>
          </cell>
        </row>
        <row r="73">
          <cell r="A73">
            <v>2026352035</v>
          </cell>
          <cell r="B73">
            <v>42446</v>
          </cell>
          <cell r="D73">
            <v>7.9833333333333334</v>
          </cell>
        </row>
        <row r="74">
          <cell r="A74">
            <v>2026352035</v>
          </cell>
          <cell r="B74">
            <v>42447</v>
          </cell>
          <cell r="D74">
            <v>9.5833333333333339</v>
          </cell>
        </row>
        <row r="75">
          <cell r="A75">
            <v>2026352035</v>
          </cell>
          <cell r="B75">
            <v>42448</v>
          </cell>
          <cell r="D75">
            <v>8.5833333333333339</v>
          </cell>
        </row>
        <row r="76">
          <cell r="A76">
            <v>2026352035</v>
          </cell>
          <cell r="B76">
            <v>42449</v>
          </cell>
          <cell r="D76">
            <v>9.0833333333333339</v>
          </cell>
        </row>
        <row r="77">
          <cell r="A77">
            <v>2026352035</v>
          </cell>
          <cell r="B77">
            <v>42450</v>
          </cell>
          <cell r="D77">
            <v>9.4499999999999993</v>
          </cell>
        </row>
        <row r="78">
          <cell r="A78">
            <v>2026352035</v>
          </cell>
          <cell r="B78">
            <v>42451</v>
          </cell>
          <cell r="D78">
            <v>8.6666666666666661</v>
          </cell>
        </row>
        <row r="79">
          <cell r="A79">
            <v>2026352035</v>
          </cell>
          <cell r="B79">
            <v>42452</v>
          </cell>
          <cell r="D79">
            <v>9.3666666666666671</v>
          </cell>
        </row>
        <row r="80">
          <cell r="A80">
            <v>2026352035</v>
          </cell>
          <cell r="B80">
            <v>42453</v>
          </cell>
          <cell r="D80">
            <v>8.85</v>
          </cell>
        </row>
        <row r="81">
          <cell r="A81">
            <v>2026352035</v>
          </cell>
          <cell r="B81">
            <v>42454</v>
          </cell>
          <cell r="D81">
            <v>8.25</v>
          </cell>
        </row>
        <row r="82">
          <cell r="A82">
            <v>2026352035</v>
          </cell>
          <cell r="B82">
            <v>42455</v>
          </cell>
          <cell r="D82">
            <v>9.65</v>
          </cell>
        </row>
        <row r="83">
          <cell r="A83">
            <v>2026352035</v>
          </cell>
          <cell r="B83">
            <v>42456</v>
          </cell>
          <cell r="D83">
            <v>9.0833333333333339</v>
          </cell>
        </row>
        <row r="84">
          <cell r="A84">
            <v>2026352035</v>
          </cell>
          <cell r="B84">
            <v>42457</v>
          </cell>
          <cell r="D84">
            <v>8.5</v>
          </cell>
        </row>
        <row r="85">
          <cell r="A85">
            <v>2026352035</v>
          </cell>
          <cell r="B85">
            <v>42458</v>
          </cell>
          <cell r="D85">
            <v>8.0333333333333332</v>
          </cell>
        </row>
        <row r="86">
          <cell r="A86">
            <v>2026352035</v>
          </cell>
          <cell r="B86">
            <v>42459</v>
          </cell>
          <cell r="D86">
            <v>7.8</v>
          </cell>
        </row>
        <row r="87">
          <cell r="A87">
            <v>2026352035</v>
          </cell>
          <cell r="B87">
            <v>42460</v>
          </cell>
          <cell r="D87">
            <v>8.7333333333333325</v>
          </cell>
        </row>
        <row r="88">
          <cell r="A88">
            <v>2026352035</v>
          </cell>
          <cell r="B88">
            <v>42461</v>
          </cell>
          <cell r="D88">
            <v>8.5666666666666664</v>
          </cell>
        </row>
        <row r="89">
          <cell r="A89">
            <v>2026352035</v>
          </cell>
          <cell r="B89">
            <v>42462</v>
          </cell>
          <cell r="D89">
            <v>8.8000000000000007</v>
          </cell>
        </row>
        <row r="90">
          <cell r="A90">
            <v>2026352035</v>
          </cell>
          <cell r="B90">
            <v>42463</v>
          </cell>
          <cell r="D90">
            <v>8.9</v>
          </cell>
        </row>
        <row r="91">
          <cell r="A91">
            <v>2026352035</v>
          </cell>
          <cell r="B91">
            <v>42464</v>
          </cell>
          <cell r="D91">
            <v>8.2166666666666668</v>
          </cell>
        </row>
        <row r="92">
          <cell r="A92">
            <v>2026352035</v>
          </cell>
          <cell r="B92">
            <v>42465</v>
          </cell>
          <cell r="D92">
            <v>8.85</v>
          </cell>
        </row>
        <row r="93">
          <cell r="A93">
            <v>2026352035</v>
          </cell>
          <cell r="B93">
            <v>42466</v>
          </cell>
          <cell r="D93">
            <v>7.75</v>
          </cell>
        </row>
        <row r="94">
          <cell r="A94">
            <v>2026352035</v>
          </cell>
          <cell r="B94">
            <v>42467</v>
          </cell>
          <cell r="D94">
            <v>9</v>
          </cell>
        </row>
        <row r="95">
          <cell r="A95">
            <v>2026352035</v>
          </cell>
          <cell r="B95">
            <v>42468</v>
          </cell>
          <cell r="D95">
            <v>8.6833333333333336</v>
          </cell>
        </row>
        <row r="96">
          <cell r="A96">
            <v>2026352035</v>
          </cell>
          <cell r="B96">
            <v>42469</v>
          </cell>
          <cell r="D96">
            <v>8.1666666666666661</v>
          </cell>
        </row>
        <row r="97">
          <cell r="A97">
            <v>2026352035</v>
          </cell>
          <cell r="B97">
            <v>42470</v>
          </cell>
          <cell r="D97">
            <v>8.4</v>
          </cell>
        </row>
        <row r="98">
          <cell r="A98">
            <v>2026352035</v>
          </cell>
          <cell r="B98">
            <v>42471</v>
          </cell>
          <cell r="D98">
            <v>9.0166666666666675</v>
          </cell>
        </row>
        <row r="99">
          <cell r="A99">
            <v>2026352035</v>
          </cell>
          <cell r="B99">
            <v>42472</v>
          </cell>
          <cell r="D99">
            <v>5.6833333333333336</v>
          </cell>
        </row>
        <row r="100">
          <cell r="A100">
            <v>2347167796</v>
          </cell>
          <cell r="B100">
            <v>42440</v>
          </cell>
          <cell r="D100">
            <v>0.23333333333333334</v>
          </cell>
        </row>
        <row r="101">
          <cell r="A101">
            <v>2347167796</v>
          </cell>
          <cell r="B101">
            <v>42441</v>
          </cell>
          <cell r="D101">
            <v>7.9</v>
          </cell>
        </row>
        <row r="102">
          <cell r="A102">
            <v>2347167796</v>
          </cell>
          <cell r="B102">
            <v>42442</v>
          </cell>
          <cell r="D102">
            <v>9.6166666666666671</v>
          </cell>
        </row>
        <row r="103">
          <cell r="A103">
            <v>2347167796</v>
          </cell>
          <cell r="B103">
            <v>42443</v>
          </cell>
          <cell r="D103">
            <v>7.2</v>
          </cell>
        </row>
        <row r="104">
          <cell r="A104">
            <v>2347167796</v>
          </cell>
          <cell r="B104">
            <v>42444</v>
          </cell>
          <cell r="D104">
            <v>8.35</v>
          </cell>
        </row>
        <row r="105">
          <cell r="A105">
            <v>2347167796</v>
          </cell>
          <cell r="B105">
            <v>42445</v>
          </cell>
          <cell r="D105">
            <v>7.4333333333333336</v>
          </cell>
        </row>
        <row r="106">
          <cell r="A106">
            <v>2347167796</v>
          </cell>
          <cell r="B106">
            <v>42446</v>
          </cell>
          <cell r="D106">
            <v>6.3833333333333337</v>
          </cell>
        </row>
        <row r="107">
          <cell r="A107">
            <v>2347167796</v>
          </cell>
          <cell r="B107">
            <v>42447</v>
          </cell>
          <cell r="D107">
            <v>7.25</v>
          </cell>
        </row>
        <row r="108">
          <cell r="A108">
            <v>2347167796</v>
          </cell>
          <cell r="B108">
            <v>42448</v>
          </cell>
          <cell r="D108">
            <v>4.166666666666667</v>
          </cell>
        </row>
        <row r="109">
          <cell r="A109">
            <v>2347167796</v>
          </cell>
          <cell r="B109">
            <v>42449</v>
          </cell>
          <cell r="D109">
            <v>8.8166666666666664</v>
          </cell>
        </row>
        <row r="110">
          <cell r="A110">
            <v>2347167796</v>
          </cell>
          <cell r="B110">
            <v>42450</v>
          </cell>
          <cell r="D110">
            <v>7.5333333333333332</v>
          </cell>
        </row>
        <row r="111">
          <cell r="A111">
            <v>2347167796</v>
          </cell>
          <cell r="B111">
            <v>42451</v>
          </cell>
          <cell r="D111">
            <v>8.1333333333333329</v>
          </cell>
        </row>
        <row r="112">
          <cell r="A112">
            <v>2347167796</v>
          </cell>
          <cell r="B112">
            <v>42452</v>
          </cell>
          <cell r="D112">
            <v>7.4833333333333334</v>
          </cell>
        </row>
        <row r="113">
          <cell r="A113">
            <v>2347167796</v>
          </cell>
          <cell r="B113">
            <v>42453</v>
          </cell>
          <cell r="D113">
            <v>7.25</v>
          </cell>
        </row>
        <row r="114">
          <cell r="A114">
            <v>2347167796</v>
          </cell>
          <cell r="B114">
            <v>42454</v>
          </cell>
          <cell r="D114">
            <v>5.2166666666666668</v>
          </cell>
        </row>
        <row r="115">
          <cell r="A115">
            <v>2347167796</v>
          </cell>
          <cell r="B115">
            <v>42456</v>
          </cell>
          <cell r="D115">
            <v>1.7833333333333334</v>
          </cell>
        </row>
        <row r="116">
          <cell r="A116">
            <v>2347167796</v>
          </cell>
          <cell r="B116">
            <v>42457</v>
          </cell>
          <cell r="D116">
            <v>8.6</v>
          </cell>
        </row>
        <row r="117">
          <cell r="A117">
            <v>2347167796</v>
          </cell>
          <cell r="B117">
            <v>42458</v>
          </cell>
          <cell r="D117">
            <v>7.0333333333333332</v>
          </cell>
        </row>
        <row r="118">
          <cell r="A118">
            <v>2347167796</v>
          </cell>
          <cell r="B118">
            <v>42459</v>
          </cell>
          <cell r="D118">
            <v>7.8666666666666663</v>
          </cell>
        </row>
        <row r="119">
          <cell r="A119">
            <v>2347167796</v>
          </cell>
          <cell r="B119">
            <v>42460</v>
          </cell>
          <cell r="D119">
            <v>8.6166666666666671</v>
          </cell>
        </row>
        <row r="120">
          <cell r="A120">
            <v>2347167796</v>
          </cell>
          <cell r="B120">
            <v>42461</v>
          </cell>
          <cell r="D120">
            <v>6.2333333333333334</v>
          </cell>
        </row>
        <row r="121">
          <cell r="A121">
            <v>2347167796</v>
          </cell>
          <cell r="B121">
            <v>42462</v>
          </cell>
          <cell r="D121">
            <v>6.95</v>
          </cell>
        </row>
        <row r="122">
          <cell r="A122">
            <v>2347167796</v>
          </cell>
          <cell r="B122">
            <v>42463</v>
          </cell>
          <cell r="D122">
            <v>9.65</v>
          </cell>
        </row>
        <row r="123">
          <cell r="A123">
            <v>2347167796</v>
          </cell>
          <cell r="B123">
            <v>42464</v>
          </cell>
          <cell r="D123">
            <v>7.8666666666666663</v>
          </cell>
        </row>
        <row r="124">
          <cell r="A124">
            <v>2347167796</v>
          </cell>
          <cell r="B124">
            <v>42465</v>
          </cell>
          <cell r="D124">
            <v>6.583333333333333</v>
          </cell>
        </row>
        <row r="125">
          <cell r="A125">
            <v>2347167796</v>
          </cell>
          <cell r="B125">
            <v>42466</v>
          </cell>
          <cell r="D125">
            <v>6.2</v>
          </cell>
        </row>
        <row r="126">
          <cell r="A126">
            <v>2347167796</v>
          </cell>
          <cell r="B126">
            <v>42467</v>
          </cell>
          <cell r="D126">
            <v>1.1666666666666667</v>
          </cell>
        </row>
        <row r="127">
          <cell r="A127">
            <v>2347167796</v>
          </cell>
          <cell r="B127">
            <v>42468</v>
          </cell>
          <cell r="D127">
            <v>6.333333333333333</v>
          </cell>
        </row>
        <row r="128">
          <cell r="A128">
            <v>2347167796</v>
          </cell>
          <cell r="B128">
            <v>42469</v>
          </cell>
          <cell r="D128">
            <v>0.3</v>
          </cell>
        </row>
        <row r="129">
          <cell r="A129">
            <v>2347167796</v>
          </cell>
          <cell r="B129">
            <v>42470</v>
          </cell>
          <cell r="D129">
            <v>10.016666666666667</v>
          </cell>
        </row>
        <row r="130">
          <cell r="A130">
            <v>2347167796</v>
          </cell>
          <cell r="B130">
            <v>42471</v>
          </cell>
          <cell r="D130">
            <v>5.8833333333333337</v>
          </cell>
        </row>
        <row r="131">
          <cell r="A131">
            <v>3977333714</v>
          </cell>
          <cell r="B131">
            <v>42442</v>
          </cell>
          <cell r="D131">
            <v>5.0666666666666664</v>
          </cell>
        </row>
        <row r="132">
          <cell r="A132">
            <v>3977333714</v>
          </cell>
          <cell r="B132">
            <v>42443</v>
          </cell>
          <cell r="D132">
            <v>5.05</v>
          </cell>
        </row>
        <row r="133">
          <cell r="A133">
            <v>3977333714</v>
          </cell>
          <cell r="B133">
            <v>42444</v>
          </cell>
          <cell r="D133">
            <v>4.2833333333333332</v>
          </cell>
        </row>
        <row r="134">
          <cell r="A134">
            <v>3977333714</v>
          </cell>
          <cell r="B134">
            <v>42445</v>
          </cell>
          <cell r="D134">
            <v>3.4666666666666668</v>
          </cell>
        </row>
        <row r="135">
          <cell r="A135">
            <v>3977333714</v>
          </cell>
          <cell r="B135">
            <v>42446</v>
          </cell>
          <cell r="D135">
            <v>5.9333333333333336</v>
          </cell>
        </row>
        <row r="136">
          <cell r="A136">
            <v>3977333714</v>
          </cell>
          <cell r="B136">
            <v>42461</v>
          </cell>
          <cell r="D136">
            <v>4.95</v>
          </cell>
        </row>
        <row r="137">
          <cell r="A137">
            <v>3977333714</v>
          </cell>
          <cell r="B137">
            <v>42462</v>
          </cell>
          <cell r="D137">
            <v>3.3166666666666669</v>
          </cell>
        </row>
        <row r="138">
          <cell r="A138">
            <v>3977333714</v>
          </cell>
          <cell r="B138">
            <v>42463</v>
          </cell>
          <cell r="D138">
            <v>3.7</v>
          </cell>
        </row>
        <row r="139">
          <cell r="A139">
            <v>3977333714</v>
          </cell>
          <cell r="B139">
            <v>42464</v>
          </cell>
          <cell r="D139">
            <v>3.4166666666666665</v>
          </cell>
        </row>
        <row r="140">
          <cell r="A140">
            <v>3977333714</v>
          </cell>
          <cell r="B140">
            <v>42465</v>
          </cell>
          <cell r="D140">
            <v>6.3</v>
          </cell>
        </row>
        <row r="141">
          <cell r="A141">
            <v>3977333714</v>
          </cell>
          <cell r="B141">
            <v>42466</v>
          </cell>
          <cell r="D141">
            <v>4.9333333333333336</v>
          </cell>
        </row>
        <row r="142">
          <cell r="A142">
            <v>3977333714</v>
          </cell>
          <cell r="B142">
            <v>42467</v>
          </cell>
          <cell r="D142">
            <v>3.6833333333333331</v>
          </cell>
        </row>
        <row r="143">
          <cell r="A143">
            <v>3977333714</v>
          </cell>
          <cell r="B143">
            <v>42468</v>
          </cell>
          <cell r="D143">
            <v>5.083333333333333</v>
          </cell>
        </row>
        <row r="144">
          <cell r="A144">
            <v>3977333714</v>
          </cell>
          <cell r="B144">
            <v>42469</v>
          </cell>
          <cell r="D144">
            <v>4.55</v>
          </cell>
        </row>
        <row r="145">
          <cell r="A145">
            <v>3977333714</v>
          </cell>
          <cell r="B145">
            <v>42470</v>
          </cell>
          <cell r="D145">
            <v>4.8833333333333337</v>
          </cell>
        </row>
        <row r="146">
          <cell r="A146">
            <v>3977333714</v>
          </cell>
          <cell r="B146">
            <v>42471</v>
          </cell>
          <cell r="D146">
            <v>4.7</v>
          </cell>
        </row>
        <row r="147">
          <cell r="A147">
            <v>4020332650</v>
          </cell>
          <cell r="B147">
            <v>42441</v>
          </cell>
          <cell r="D147">
            <v>6.4</v>
          </cell>
        </row>
        <row r="148">
          <cell r="A148">
            <v>4020332650</v>
          </cell>
          <cell r="B148">
            <v>42442</v>
          </cell>
          <cell r="D148">
            <v>8.4166666666666661</v>
          </cell>
        </row>
        <row r="149">
          <cell r="A149">
            <v>4020332650</v>
          </cell>
          <cell r="B149">
            <v>42443</v>
          </cell>
          <cell r="D149">
            <v>4.416666666666667</v>
          </cell>
        </row>
        <row r="150">
          <cell r="A150">
            <v>4020332650</v>
          </cell>
          <cell r="B150">
            <v>42444</v>
          </cell>
          <cell r="D150">
            <v>5.5166666666666666</v>
          </cell>
        </row>
        <row r="151">
          <cell r="A151">
            <v>4020332650</v>
          </cell>
          <cell r="B151">
            <v>42445</v>
          </cell>
          <cell r="D151">
            <v>7.65</v>
          </cell>
        </row>
        <row r="152">
          <cell r="A152">
            <v>4020332650</v>
          </cell>
          <cell r="B152">
            <v>42446</v>
          </cell>
          <cell r="D152">
            <v>6.2333333333333334</v>
          </cell>
        </row>
        <row r="153">
          <cell r="A153">
            <v>4020332650</v>
          </cell>
          <cell r="B153">
            <v>42459</v>
          </cell>
          <cell r="D153">
            <v>6.1</v>
          </cell>
        </row>
        <row r="154">
          <cell r="A154">
            <v>4020332650</v>
          </cell>
          <cell r="B154">
            <v>42460</v>
          </cell>
          <cell r="D154">
            <v>4.3166666666666664</v>
          </cell>
        </row>
        <row r="155">
          <cell r="A155">
            <v>4020332650</v>
          </cell>
          <cell r="B155">
            <v>42461</v>
          </cell>
          <cell r="D155">
            <v>7.15</v>
          </cell>
        </row>
        <row r="156">
          <cell r="A156">
            <v>4020332650</v>
          </cell>
          <cell r="B156">
            <v>42462</v>
          </cell>
          <cell r="D156">
            <v>8.3166666666666664</v>
          </cell>
        </row>
        <row r="157">
          <cell r="A157">
            <v>4020332650</v>
          </cell>
          <cell r="B157">
            <v>42463</v>
          </cell>
          <cell r="D157">
            <v>6.45</v>
          </cell>
        </row>
        <row r="158">
          <cell r="A158">
            <v>4020332650</v>
          </cell>
          <cell r="B158">
            <v>42464</v>
          </cell>
          <cell r="D158">
            <v>7.7166666666666668</v>
          </cell>
        </row>
        <row r="159">
          <cell r="A159">
            <v>4020332650</v>
          </cell>
          <cell r="B159">
            <v>42466</v>
          </cell>
          <cell r="D159">
            <v>4.083333333333333</v>
          </cell>
        </row>
        <row r="160">
          <cell r="A160">
            <v>4020332650</v>
          </cell>
          <cell r="B160">
            <v>42470</v>
          </cell>
          <cell r="D160">
            <v>1.2333333333333334</v>
          </cell>
        </row>
        <row r="161">
          <cell r="A161">
            <v>4020332650</v>
          </cell>
          <cell r="B161">
            <v>42471</v>
          </cell>
          <cell r="D161">
            <v>7.1</v>
          </cell>
        </row>
        <row r="162">
          <cell r="A162">
            <v>4319703577</v>
          </cell>
          <cell r="B162">
            <v>42440</v>
          </cell>
          <cell r="D162">
            <v>1.3</v>
          </cell>
        </row>
        <row r="163">
          <cell r="A163">
            <v>4319703577</v>
          </cell>
          <cell r="B163">
            <v>42441</v>
          </cell>
          <cell r="D163">
            <v>8.3833333333333329</v>
          </cell>
        </row>
        <row r="164">
          <cell r="A164">
            <v>4319703577</v>
          </cell>
          <cell r="B164">
            <v>42442</v>
          </cell>
          <cell r="D164">
            <v>6.0666666666666664</v>
          </cell>
        </row>
        <row r="165">
          <cell r="A165">
            <v>4319703577</v>
          </cell>
          <cell r="B165">
            <v>42443</v>
          </cell>
          <cell r="D165">
            <v>1.5666666666666667</v>
          </cell>
        </row>
        <row r="166">
          <cell r="A166">
            <v>4319703577</v>
          </cell>
          <cell r="B166">
            <v>42444</v>
          </cell>
          <cell r="D166">
            <v>7.6333333333333337</v>
          </cell>
        </row>
        <row r="167">
          <cell r="A167">
            <v>4319703577</v>
          </cell>
          <cell r="B167">
            <v>42445</v>
          </cell>
          <cell r="D167">
            <v>8.2666666666666675</v>
          </cell>
        </row>
        <row r="168">
          <cell r="A168">
            <v>4319703577</v>
          </cell>
          <cell r="B168">
            <v>42446</v>
          </cell>
          <cell r="D168">
            <v>8.25</v>
          </cell>
        </row>
        <row r="169">
          <cell r="A169">
            <v>4319703577</v>
          </cell>
          <cell r="B169">
            <v>42447</v>
          </cell>
          <cell r="D169">
            <v>8.0166666666666675</v>
          </cell>
        </row>
        <row r="170">
          <cell r="A170">
            <v>4319703577</v>
          </cell>
          <cell r="B170">
            <v>42448</v>
          </cell>
          <cell r="D170">
            <v>7.8833333333333337</v>
          </cell>
        </row>
        <row r="171">
          <cell r="A171">
            <v>4319703577</v>
          </cell>
          <cell r="B171">
            <v>42449</v>
          </cell>
          <cell r="D171">
            <v>7.5</v>
          </cell>
        </row>
        <row r="172">
          <cell r="A172">
            <v>4319703577</v>
          </cell>
          <cell r="B172">
            <v>42450</v>
          </cell>
          <cell r="D172">
            <v>7.1333333333333337</v>
          </cell>
        </row>
        <row r="173">
          <cell r="A173">
            <v>4319703577</v>
          </cell>
          <cell r="B173">
            <v>42451</v>
          </cell>
          <cell r="D173">
            <v>1.05</v>
          </cell>
        </row>
        <row r="174">
          <cell r="A174">
            <v>4319703577</v>
          </cell>
          <cell r="B174">
            <v>42452</v>
          </cell>
          <cell r="D174">
            <v>8.1666666666666661</v>
          </cell>
        </row>
        <row r="175">
          <cell r="A175">
            <v>4319703577</v>
          </cell>
          <cell r="B175">
            <v>42453</v>
          </cell>
          <cell r="D175">
            <v>6.8666666666666663</v>
          </cell>
        </row>
        <row r="176">
          <cell r="A176">
            <v>4319703577</v>
          </cell>
          <cell r="B176">
            <v>42454</v>
          </cell>
          <cell r="D176">
            <v>8.65</v>
          </cell>
        </row>
        <row r="177">
          <cell r="A177">
            <v>4319703577</v>
          </cell>
          <cell r="B177">
            <v>42455</v>
          </cell>
          <cell r="D177">
            <v>8.15</v>
          </cell>
        </row>
        <row r="178">
          <cell r="A178">
            <v>4319703577</v>
          </cell>
          <cell r="B178">
            <v>42456</v>
          </cell>
          <cell r="D178">
            <v>9.7166666666666668</v>
          </cell>
        </row>
        <row r="179">
          <cell r="A179">
            <v>4319703577</v>
          </cell>
          <cell r="B179">
            <v>42457</v>
          </cell>
          <cell r="D179">
            <v>8.3000000000000007</v>
          </cell>
        </row>
        <row r="180">
          <cell r="A180">
            <v>4319703577</v>
          </cell>
          <cell r="B180">
            <v>42458</v>
          </cell>
          <cell r="D180">
            <v>8.5666666666666664</v>
          </cell>
        </row>
        <row r="181">
          <cell r="A181">
            <v>4319703577</v>
          </cell>
          <cell r="B181">
            <v>42459</v>
          </cell>
          <cell r="D181">
            <v>7.5666666666666664</v>
          </cell>
        </row>
        <row r="182">
          <cell r="A182">
            <v>4319703577</v>
          </cell>
          <cell r="B182">
            <v>42460</v>
          </cell>
          <cell r="D182">
            <v>0.6333333333333333</v>
          </cell>
        </row>
        <row r="183">
          <cell r="A183">
            <v>4319703577</v>
          </cell>
          <cell r="B183">
            <v>42461</v>
          </cell>
          <cell r="D183">
            <v>7.7666666666666666</v>
          </cell>
        </row>
        <row r="184">
          <cell r="A184">
            <v>4319703577</v>
          </cell>
          <cell r="B184">
            <v>42462</v>
          </cell>
          <cell r="D184">
            <v>8.8166666666666664</v>
          </cell>
        </row>
        <row r="185">
          <cell r="A185">
            <v>4319703577</v>
          </cell>
          <cell r="B185">
            <v>42463</v>
          </cell>
          <cell r="D185">
            <v>9.4666666666666668</v>
          </cell>
        </row>
        <row r="186">
          <cell r="A186">
            <v>4319703577</v>
          </cell>
          <cell r="B186">
            <v>42464</v>
          </cell>
          <cell r="D186">
            <v>7.8833333333333337</v>
          </cell>
        </row>
        <row r="187">
          <cell r="A187">
            <v>4319703577</v>
          </cell>
          <cell r="B187">
            <v>42465</v>
          </cell>
          <cell r="D187">
            <v>7.5</v>
          </cell>
        </row>
        <row r="188">
          <cell r="A188">
            <v>4319703577</v>
          </cell>
          <cell r="B188">
            <v>42466</v>
          </cell>
          <cell r="D188">
            <v>7.833333333333333</v>
          </cell>
        </row>
        <row r="189">
          <cell r="A189">
            <v>4319703577</v>
          </cell>
          <cell r="B189">
            <v>42467</v>
          </cell>
          <cell r="D189">
            <v>7.2166666666666668</v>
          </cell>
        </row>
        <row r="190">
          <cell r="A190">
            <v>4445114986</v>
          </cell>
          <cell r="B190">
            <v>42441</v>
          </cell>
          <cell r="D190">
            <v>6.0166666666666666</v>
          </cell>
        </row>
        <row r="191">
          <cell r="A191">
            <v>4445114986</v>
          </cell>
          <cell r="B191">
            <v>42442</v>
          </cell>
          <cell r="D191">
            <v>5.8</v>
          </cell>
        </row>
        <row r="192">
          <cell r="A192">
            <v>4445114986</v>
          </cell>
          <cell r="B192">
            <v>42444</v>
          </cell>
          <cell r="D192">
            <v>8.1166666666666671</v>
          </cell>
        </row>
        <row r="193">
          <cell r="A193">
            <v>4445114986</v>
          </cell>
          <cell r="B193">
            <v>42445</v>
          </cell>
          <cell r="D193">
            <v>6.4666666666666668</v>
          </cell>
        </row>
        <row r="194">
          <cell r="A194">
            <v>4445114986</v>
          </cell>
          <cell r="B194">
            <v>42446</v>
          </cell>
          <cell r="D194">
            <v>3.6166666666666667</v>
          </cell>
        </row>
        <row r="195">
          <cell r="A195">
            <v>4445114986</v>
          </cell>
          <cell r="B195">
            <v>42448</v>
          </cell>
          <cell r="D195">
            <v>2.2833333333333332</v>
          </cell>
        </row>
        <row r="196">
          <cell r="A196">
            <v>4445114986</v>
          </cell>
          <cell r="B196">
            <v>42449</v>
          </cell>
          <cell r="D196">
            <v>8.9833333333333325</v>
          </cell>
        </row>
        <row r="197">
          <cell r="A197">
            <v>4445114986</v>
          </cell>
          <cell r="B197">
            <v>42450</v>
          </cell>
          <cell r="D197">
            <v>3.25</v>
          </cell>
        </row>
        <row r="198">
          <cell r="A198">
            <v>4445114986</v>
          </cell>
          <cell r="B198">
            <v>42451</v>
          </cell>
          <cell r="D198">
            <v>5.7333333333333334</v>
          </cell>
        </row>
        <row r="199">
          <cell r="A199">
            <v>4445114986</v>
          </cell>
          <cell r="B199">
            <v>42453</v>
          </cell>
          <cell r="D199">
            <v>6.333333333333333</v>
          </cell>
        </row>
        <row r="200">
          <cell r="A200">
            <v>4445114986</v>
          </cell>
          <cell r="B200">
            <v>42454</v>
          </cell>
          <cell r="D200">
            <v>5.416666666666667</v>
          </cell>
        </row>
        <row r="201">
          <cell r="A201">
            <v>4445114986</v>
          </cell>
          <cell r="B201">
            <v>42455</v>
          </cell>
          <cell r="D201">
            <v>2.6</v>
          </cell>
        </row>
        <row r="202">
          <cell r="A202">
            <v>4445114986</v>
          </cell>
          <cell r="B202">
            <v>42456</v>
          </cell>
          <cell r="D202">
            <v>5.3</v>
          </cell>
        </row>
        <row r="203">
          <cell r="A203">
            <v>4445114986</v>
          </cell>
          <cell r="B203">
            <v>42457</v>
          </cell>
          <cell r="D203">
            <v>5.9833333333333334</v>
          </cell>
        </row>
        <row r="204">
          <cell r="A204">
            <v>4445114986</v>
          </cell>
          <cell r="B204">
            <v>42458</v>
          </cell>
          <cell r="D204">
            <v>7.3666666666666663</v>
          </cell>
        </row>
        <row r="205">
          <cell r="A205">
            <v>4445114986</v>
          </cell>
          <cell r="B205">
            <v>42460</v>
          </cell>
          <cell r="D205">
            <v>6</v>
          </cell>
        </row>
        <row r="206">
          <cell r="A206">
            <v>4445114986</v>
          </cell>
          <cell r="B206">
            <v>42461</v>
          </cell>
          <cell r="D206">
            <v>5.1833333333333336</v>
          </cell>
        </row>
        <row r="207">
          <cell r="A207">
            <v>4445114986</v>
          </cell>
          <cell r="B207">
            <v>42462</v>
          </cell>
          <cell r="D207">
            <v>7.8166666666666664</v>
          </cell>
        </row>
        <row r="208">
          <cell r="A208">
            <v>4445114986</v>
          </cell>
          <cell r="B208">
            <v>42465</v>
          </cell>
          <cell r="D208">
            <v>7.75</v>
          </cell>
        </row>
        <row r="209">
          <cell r="A209">
            <v>4445114986</v>
          </cell>
          <cell r="B209">
            <v>42466</v>
          </cell>
          <cell r="D209">
            <v>7.1833333333333336</v>
          </cell>
        </row>
        <row r="210">
          <cell r="A210">
            <v>4445114986</v>
          </cell>
          <cell r="B210">
            <v>42467</v>
          </cell>
          <cell r="D210">
            <v>4.3666666666666663</v>
          </cell>
        </row>
        <row r="211">
          <cell r="A211">
            <v>4445114986</v>
          </cell>
          <cell r="B211">
            <v>42468</v>
          </cell>
          <cell r="D211">
            <v>3.65</v>
          </cell>
        </row>
        <row r="212">
          <cell r="A212">
            <v>4445114986</v>
          </cell>
          <cell r="B212">
            <v>42469</v>
          </cell>
          <cell r="D212">
            <v>6.5166666666666666</v>
          </cell>
        </row>
        <row r="213">
          <cell r="A213">
            <v>4445114986</v>
          </cell>
          <cell r="B213">
            <v>42470</v>
          </cell>
          <cell r="D213">
            <v>5.7833333333333332</v>
          </cell>
        </row>
        <row r="214">
          <cell r="A214">
            <v>4445114986</v>
          </cell>
          <cell r="B214">
            <v>42471</v>
          </cell>
          <cell r="D214">
            <v>6.583333333333333</v>
          </cell>
        </row>
        <row r="215">
          <cell r="A215">
            <v>4445114986</v>
          </cell>
          <cell r="B215">
            <v>42472</v>
          </cell>
          <cell r="D215">
            <v>5.1333333333333337</v>
          </cell>
        </row>
        <row r="216">
          <cell r="A216">
            <v>4558609924</v>
          </cell>
          <cell r="B216">
            <v>42459</v>
          </cell>
          <cell r="D216">
            <v>1.6</v>
          </cell>
        </row>
        <row r="217">
          <cell r="A217">
            <v>4558609924</v>
          </cell>
          <cell r="B217">
            <v>42460</v>
          </cell>
          <cell r="D217">
            <v>3.1666666666666665</v>
          </cell>
        </row>
        <row r="218">
          <cell r="A218">
            <v>4558609924</v>
          </cell>
          <cell r="B218">
            <v>42462</v>
          </cell>
          <cell r="D218">
            <v>1.4333333333333333</v>
          </cell>
        </row>
        <row r="219">
          <cell r="A219">
            <v>4558609924</v>
          </cell>
          <cell r="B219">
            <v>42463</v>
          </cell>
          <cell r="D219">
            <v>4.5666666666666664</v>
          </cell>
        </row>
        <row r="220">
          <cell r="A220">
            <v>4702921684</v>
          </cell>
          <cell r="B220">
            <v>42440</v>
          </cell>
          <cell r="D220">
            <v>1.9833333333333334</v>
          </cell>
        </row>
        <row r="221">
          <cell r="A221">
            <v>4702921684</v>
          </cell>
          <cell r="B221">
            <v>42441</v>
          </cell>
          <cell r="D221">
            <v>7.5666666666666664</v>
          </cell>
        </row>
        <row r="222">
          <cell r="A222">
            <v>4702921684</v>
          </cell>
          <cell r="B222">
            <v>42442</v>
          </cell>
          <cell r="D222">
            <v>4.6833333333333336</v>
          </cell>
        </row>
        <row r="223">
          <cell r="A223">
            <v>4702921684</v>
          </cell>
          <cell r="B223">
            <v>42443</v>
          </cell>
          <cell r="D223">
            <v>7.2833333333333332</v>
          </cell>
        </row>
        <row r="224">
          <cell r="A224">
            <v>4702921684</v>
          </cell>
          <cell r="B224">
            <v>42444</v>
          </cell>
          <cell r="D224">
            <v>7.55</v>
          </cell>
        </row>
        <row r="225">
          <cell r="A225">
            <v>4702921684</v>
          </cell>
          <cell r="B225">
            <v>42445</v>
          </cell>
          <cell r="D225">
            <v>7.6833333333333336</v>
          </cell>
        </row>
        <row r="226">
          <cell r="A226">
            <v>4702921684</v>
          </cell>
          <cell r="B226">
            <v>42446</v>
          </cell>
          <cell r="D226">
            <v>7.4333333333333336</v>
          </cell>
        </row>
        <row r="227">
          <cell r="A227">
            <v>4702921684</v>
          </cell>
          <cell r="B227">
            <v>42447</v>
          </cell>
          <cell r="D227">
            <v>5.75</v>
          </cell>
        </row>
        <row r="228">
          <cell r="A228">
            <v>4702921684</v>
          </cell>
          <cell r="B228">
            <v>42450</v>
          </cell>
          <cell r="D228">
            <v>1.65</v>
          </cell>
        </row>
        <row r="229">
          <cell r="A229">
            <v>4702921684</v>
          </cell>
          <cell r="B229">
            <v>42451</v>
          </cell>
          <cell r="D229">
            <v>7.1333333333333337</v>
          </cell>
        </row>
        <row r="230">
          <cell r="A230">
            <v>4702921684</v>
          </cell>
          <cell r="B230">
            <v>42452</v>
          </cell>
          <cell r="D230">
            <v>7.15</v>
          </cell>
        </row>
        <row r="231">
          <cell r="A231">
            <v>4702921684</v>
          </cell>
          <cell r="B231">
            <v>42453</v>
          </cell>
          <cell r="D231">
            <v>7.1333333333333337</v>
          </cell>
        </row>
        <row r="232">
          <cell r="A232">
            <v>4702921684</v>
          </cell>
          <cell r="B232">
            <v>42454</v>
          </cell>
          <cell r="D232">
            <v>7.6333333333333337</v>
          </cell>
        </row>
        <row r="233">
          <cell r="A233">
            <v>4702921684</v>
          </cell>
          <cell r="B233">
            <v>42455</v>
          </cell>
          <cell r="D233">
            <v>6.7333333333333334</v>
          </cell>
        </row>
        <row r="234">
          <cell r="A234">
            <v>4702921684</v>
          </cell>
          <cell r="B234">
            <v>42456</v>
          </cell>
          <cell r="D234">
            <v>9.3833333333333329</v>
          </cell>
        </row>
        <row r="235">
          <cell r="A235">
            <v>4702921684</v>
          </cell>
          <cell r="B235">
            <v>42457</v>
          </cell>
          <cell r="D235">
            <v>6.9833333333333334</v>
          </cell>
        </row>
        <row r="236">
          <cell r="A236">
            <v>4702921684</v>
          </cell>
          <cell r="B236">
            <v>42458</v>
          </cell>
          <cell r="D236">
            <v>6.8833333333333337</v>
          </cell>
        </row>
        <row r="237">
          <cell r="A237">
            <v>4702921684</v>
          </cell>
          <cell r="B237">
            <v>42459</v>
          </cell>
          <cell r="D237">
            <v>7.0166666666666666</v>
          </cell>
        </row>
        <row r="238">
          <cell r="A238">
            <v>4702921684</v>
          </cell>
          <cell r="B238">
            <v>42460</v>
          </cell>
          <cell r="D238">
            <v>7</v>
          </cell>
        </row>
        <row r="239">
          <cell r="A239">
            <v>4702921684</v>
          </cell>
          <cell r="B239">
            <v>42461</v>
          </cell>
          <cell r="D239">
            <v>7.5666666666666664</v>
          </cell>
        </row>
        <row r="240">
          <cell r="A240">
            <v>4702921684</v>
          </cell>
          <cell r="B240">
            <v>42462</v>
          </cell>
          <cell r="D240">
            <v>8.9666666666666668</v>
          </cell>
        </row>
        <row r="241">
          <cell r="A241">
            <v>4702921684</v>
          </cell>
          <cell r="B241">
            <v>42463</v>
          </cell>
          <cell r="D241">
            <v>9.3000000000000007</v>
          </cell>
        </row>
        <row r="242">
          <cell r="A242">
            <v>4702921684</v>
          </cell>
          <cell r="B242">
            <v>42464</v>
          </cell>
          <cell r="D242">
            <v>6.9833333333333334</v>
          </cell>
        </row>
        <row r="243">
          <cell r="A243">
            <v>4702921684</v>
          </cell>
          <cell r="B243">
            <v>42465</v>
          </cell>
          <cell r="D243">
            <v>6.7333333333333334</v>
          </cell>
        </row>
        <row r="244">
          <cell r="A244">
            <v>4702921684</v>
          </cell>
          <cell r="B244">
            <v>42466</v>
          </cell>
          <cell r="D244">
            <v>7.5666666666666664</v>
          </cell>
        </row>
        <row r="245">
          <cell r="A245">
            <v>4702921684</v>
          </cell>
          <cell r="B245">
            <v>42467</v>
          </cell>
          <cell r="D245">
            <v>7.4666666666666668</v>
          </cell>
        </row>
        <row r="246">
          <cell r="A246">
            <v>4702921684</v>
          </cell>
          <cell r="B246">
            <v>42468</v>
          </cell>
          <cell r="D246">
            <v>5.75</v>
          </cell>
        </row>
        <row r="247">
          <cell r="A247">
            <v>4702921684</v>
          </cell>
          <cell r="B247">
            <v>42469</v>
          </cell>
          <cell r="D247">
            <v>7.083333333333333</v>
          </cell>
        </row>
        <row r="248">
          <cell r="A248">
            <v>4702921684</v>
          </cell>
          <cell r="B248">
            <v>42470</v>
          </cell>
          <cell r="D248">
            <v>8.8833333333333329</v>
          </cell>
        </row>
        <row r="249">
          <cell r="A249">
            <v>4702921684</v>
          </cell>
          <cell r="B249">
            <v>42471</v>
          </cell>
          <cell r="D249">
            <v>5.4833333333333334</v>
          </cell>
        </row>
        <row r="250">
          <cell r="A250">
            <v>5553957443</v>
          </cell>
          <cell r="B250">
            <v>42441</v>
          </cell>
          <cell r="D250">
            <v>11.783333333333333</v>
          </cell>
        </row>
        <row r="251">
          <cell r="A251">
            <v>5553957443</v>
          </cell>
          <cell r="B251">
            <v>42442</v>
          </cell>
          <cell r="D251">
            <v>12.6</v>
          </cell>
        </row>
        <row r="252">
          <cell r="A252">
            <v>5553957443</v>
          </cell>
          <cell r="B252">
            <v>42443</v>
          </cell>
          <cell r="D252">
            <v>4.55</v>
          </cell>
        </row>
        <row r="253">
          <cell r="A253">
            <v>5553957443</v>
          </cell>
          <cell r="B253">
            <v>42444</v>
          </cell>
          <cell r="D253">
            <v>6.3</v>
          </cell>
        </row>
        <row r="254">
          <cell r="A254">
            <v>5553957443</v>
          </cell>
          <cell r="B254">
            <v>42445</v>
          </cell>
          <cell r="D254">
            <v>5.3166666666666664</v>
          </cell>
        </row>
        <row r="255">
          <cell r="A255">
            <v>5553957443</v>
          </cell>
          <cell r="B255">
            <v>42446</v>
          </cell>
          <cell r="D255">
            <v>5.1833333333333336</v>
          </cell>
        </row>
        <row r="256">
          <cell r="A256">
            <v>5553957443</v>
          </cell>
          <cell r="B256">
            <v>42447</v>
          </cell>
          <cell r="D256">
            <v>1.75</v>
          </cell>
        </row>
        <row r="257">
          <cell r="A257">
            <v>5553957443</v>
          </cell>
          <cell r="B257">
            <v>42450</v>
          </cell>
          <cell r="D257">
            <v>2.4</v>
          </cell>
        </row>
        <row r="258">
          <cell r="A258">
            <v>5553957443</v>
          </cell>
          <cell r="B258">
            <v>42451</v>
          </cell>
          <cell r="D258">
            <v>8.7666666666666675</v>
          </cell>
        </row>
        <row r="259">
          <cell r="A259">
            <v>5553957443</v>
          </cell>
          <cell r="B259">
            <v>42452</v>
          </cell>
          <cell r="D259">
            <v>4.1500000000000004</v>
          </cell>
        </row>
        <row r="260">
          <cell r="A260">
            <v>5553957443</v>
          </cell>
          <cell r="B260">
            <v>42453</v>
          </cell>
          <cell r="D260">
            <v>6.0666666666666664</v>
          </cell>
        </row>
        <row r="261">
          <cell r="A261">
            <v>5553957443</v>
          </cell>
          <cell r="B261">
            <v>42454</v>
          </cell>
          <cell r="D261">
            <v>10.116666666666667</v>
          </cell>
        </row>
        <row r="262">
          <cell r="A262">
            <v>5553957443</v>
          </cell>
          <cell r="B262">
            <v>42455</v>
          </cell>
          <cell r="D262">
            <v>5.8</v>
          </cell>
        </row>
        <row r="263">
          <cell r="A263">
            <v>5553957443</v>
          </cell>
          <cell r="B263">
            <v>42456</v>
          </cell>
          <cell r="D263">
            <v>11.083333333333334</v>
          </cell>
        </row>
        <row r="264">
          <cell r="A264">
            <v>5553957443</v>
          </cell>
          <cell r="B264">
            <v>42457</v>
          </cell>
          <cell r="D264">
            <v>10.216666666666667</v>
          </cell>
        </row>
        <row r="265">
          <cell r="A265">
            <v>5553957443</v>
          </cell>
          <cell r="B265">
            <v>42458</v>
          </cell>
          <cell r="D265">
            <v>5.2333333333333334</v>
          </cell>
        </row>
        <row r="266">
          <cell r="A266">
            <v>5553957443</v>
          </cell>
          <cell r="B266">
            <v>42459</v>
          </cell>
          <cell r="D266">
            <v>6</v>
          </cell>
        </row>
        <row r="267">
          <cell r="A267">
            <v>5553957443</v>
          </cell>
          <cell r="B267">
            <v>42460</v>
          </cell>
          <cell r="D267">
            <v>5.85</v>
          </cell>
        </row>
        <row r="268">
          <cell r="A268">
            <v>5553957443</v>
          </cell>
          <cell r="B268">
            <v>42461</v>
          </cell>
          <cell r="D268">
            <v>5.6166666666666663</v>
          </cell>
        </row>
        <row r="269">
          <cell r="A269">
            <v>5553957443</v>
          </cell>
          <cell r="B269">
            <v>42462</v>
          </cell>
          <cell r="D269">
            <v>13.183333333333334</v>
          </cell>
        </row>
        <row r="270">
          <cell r="A270">
            <v>5553957443</v>
          </cell>
          <cell r="B270">
            <v>42463</v>
          </cell>
          <cell r="D270">
            <v>12.366666666666667</v>
          </cell>
        </row>
        <row r="271">
          <cell r="A271">
            <v>5553957443</v>
          </cell>
          <cell r="B271">
            <v>42464</v>
          </cell>
          <cell r="D271">
            <v>6.8833333333333337</v>
          </cell>
        </row>
        <row r="272">
          <cell r="A272">
            <v>5553957443</v>
          </cell>
          <cell r="B272">
            <v>42465</v>
          </cell>
          <cell r="D272">
            <v>5.666666666666667</v>
          </cell>
        </row>
        <row r="273">
          <cell r="A273">
            <v>5553957443</v>
          </cell>
          <cell r="B273">
            <v>42466</v>
          </cell>
          <cell r="D273">
            <v>6.416666666666667</v>
          </cell>
        </row>
        <row r="274">
          <cell r="A274">
            <v>5553957443</v>
          </cell>
          <cell r="B274">
            <v>42467</v>
          </cell>
          <cell r="D274">
            <v>5.6333333333333337</v>
          </cell>
        </row>
        <row r="275">
          <cell r="A275">
            <v>5553957443</v>
          </cell>
          <cell r="B275">
            <v>42468</v>
          </cell>
          <cell r="D275">
            <v>6.3166666666666664</v>
          </cell>
        </row>
        <row r="276">
          <cell r="A276">
            <v>5553957443</v>
          </cell>
          <cell r="B276">
            <v>42469</v>
          </cell>
          <cell r="D276">
            <v>10.316666666666666</v>
          </cell>
        </row>
        <row r="277">
          <cell r="A277">
            <v>5553957443</v>
          </cell>
          <cell r="B277">
            <v>42470</v>
          </cell>
          <cell r="D277">
            <v>10.483333333333333</v>
          </cell>
        </row>
        <row r="278">
          <cell r="A278">
            <v>5553957443</v>
          </cell>
          <cell r="B278">
            <v>42471</v>
          </cell>
          <cell r="D278">
            <v>7.1333333333333337</v>
          </cell>
        </row>
        <row r="279">
          <cell r="A279">
            <v>5553957443</v>
          </cell>
          <cell r="B279">
            <v>42472</v>
          </cell>
          <cell r="D279">
            <v>5.7666666666666666</v>
          </cell>
        </row>
        <row r="280">
          <cell r="A280">
            <v>5577150313</v>
          </cell>
          <cell r="B280">
            <v>42440</v>
          </cell>
          <cell r="D280">
            <v>2.6</v>
          </cell>
        </row>
        <row r="281">
          <cell r="A281">
            <v>5577150313</v>
          </cell>
          <cell r="B281">
            <v>42441</v>
          </cell>
          <cell r="D281">
            <v>8.7166666666666668</v>
          </cell>
        </row>
        <row r="282">
          <cell r="A282">
            <v>5577150313</v>
          </cell>
          <cell r="B282">
            <v>42442</v>
          </cell>
          <cell r="D282">
            <v>6.9833333333333334</v>
          </cell>
        </row>
        <row r="283">
          <cell r="A283">
            <v>5577150313</v>
          </cell>
          <cell r="B283">
            <v>42443</v>
          </cell>
          <cell r="D283">
            <v>6.0666666666666664</v>
          </cell>
        </row>
        <row r="284">
          <cell r="A284">
            <v>5577150313</v>
          </cell>
          <cell r="B284">
            <v>42444</v>
          </cell>
          <cell r="D284">
            <v>7.833333333333333</v>
          </cell>
        </row>
        <row r="285">
          <cell r="A285">
            <v>5577150313</v>
          </cell>
          <cell r="B285">
            <v>42445</v>
          </cell>
          <cell r="D285">
            <v>7.4333333333333336</v>
          </cell>
        </row>
        <row r="286">
          <cell r="A286">
            <v>5577150313</v>
          </cell>
          <cell r="B286">
            <v>42446</v>
          </cell>
          <cell r="D286">
            <v>7.2</v>
          </cell>
        </row>
        <row r="287">
          <cell r="A287">
            <v>5577150313</v>
          </cell>
          <cell r="B287">
            <v>42447</v>
          </cell>
          <cell r="D287">
            <v>7.0166666666666666</v>
          </cell>
        </row>
        <row r="288">
          <cell r="A288">
            <v>5577150313</v>
          </cell>
          <cell r="B288">
            <v>42448</v>
          </cell>
          <cell r="D288">
            <v>6.1</v>
          </cell>
        </row>
        <row r="289">
          <cell r="A289">
            <v>5577150313</v>
          </cell>
          <cell r="B289">
            <v>42449</v>
          </cell>
          <cell r="D289">
            <v>10.316666666666666</v>
          </cell>
        </row>
        <row r="290">
          <cell r="A290">
            <v>5577150313</v>
          </cell>
          <cell r="B290">
            <v>42450</v>
          </cell>
          <cell r="D290">
            <v>6.45</v>
          </cell>
        </row>
        <row r="291">
          <cell r="A291">
            <v>5577150313</v>
          </cell>
          <cell r="B291">
            <v>42451</v>
          </cell>
          <cell r="D291">
            <v>1.65</v>
          </cell>
        </row>
        <row r="292">
          <cell r="A292">
            <v>5577150313</v>
          </cell>
          <cell r="B292">
            <v>42452</v>
          </cell>
          <cell r="D292">
            <v>8.5166666666666675</v>
          </cell>
        </row>
        <row r="293">
          <cell r="A293">
            <v>5577150313</v>
          </cell>
          <cell r="B293">
            <v>42453</v>
          </cell>
          <cell r="D293">
            <v>6.5</v>
          </cell>
        </row>
        <row r="294">
          <cell r="A294">
            <v>5577150313</v>
          </cell>
          <cell r="B294">
            <v>42454</v>
          </cell>
          <cell r="D294">
            <v>7.166666666666667</v>
          </cell>
        </row>
        <row r="295">
          <cell r="A295">
            <v>5577150313</v>
          </cell>
          <cell r="B295">
            <v>42455</v>
          </cell>
          <cell r="D295">
            <v>7.3</v>
          </cell>
        </row>
        <row r="296">
          <cell r="A296">
            <v>5577150313</v>
          </cell>
          <cell r="B296">
            <v>42456</v>
          </cell>
          <cell r="D296">
            <v>5.5</v>
          </cell>
        </row>
        <row r="297">
          <cell r="A297">
            <v>5577150313</v>
          </cell>
          <cell r="B297">
            <v>42457</v>
          </cell>
          <cell r="D297">
            <v>8.0666666666666664</v>
          </cell>
        </row>
        <row r="298">
          <cell r="A298">
            <v>5577150313</v>
          </cell>
          <cell r="B298">
            <v>42458</v>
          </cell>
          <cell r="D298">
            <v>7.5166666666666666</v>
          </cell>
        </row>
        <row r="299">
          <cell r="A299">
            <v>5577150313</v>
          </cell>
          <cell r="B299">
            <v>42459</v>
          </cell>
          <cell r="D299">
            <v>7.2</v>
          </cell>
        </row>
        <row r="300">
          <cell r="A300">
            <v>5577150313</v>
          </cell>
          <cell r="B300">
            <v>42460</v>
          </cell>
          <cell r="D300">
            <v>7.1</v>
          </cell>
        </row>
        <row r="301">
          <cell r="A301">
            <v>5577150313</v>
          </cell>
          <cell r="B301">
            <v>42461</v>
          </cell>
          <cell r="D301">
            <v>7.25</v>
          </cell>
        </row>
        <row r="302">
          <cell r="A302">
            <v>5577150313</v>
          </cell>
          <cell r="B302">
            <v>42462</v>
          </cell>
          <cell r="D302">
            <v>5.916666666666667</v>
          </cell>
        </row>
        <row r="303">
          <cell r="A303">
            <v>5577150313</v>
          </cell>
          <cell r="B303">
            <v>42463</v>
          </cell>
          <cell r="D303">
            <v>6.4833333333333334</v>
          </cell>
        </row>
        <row r="304">
          <cell r="A304">
            <v>5577150313</v>
          </cell>
          <cell r="B304">
            <v>42464</v>
          </cell>
          <cell r="D304">
            <v>7.25</v>
          </cell>
        </row>
        <row r="305">
          <cell r="A305">
            <v>5577150313</v>
          </cell>
          <cell r="B305">
            <v>42465</v>
          </cell>
          <cell r="D305">
            <v>6.5</v>
          </cell>
        </row>
        <row r="306">
          <cell r="A306">
            <v>5577150313</v>
          </cell>
          <cell r="B306">
            <v>42466</v>
          </cell>
          <cell r="D306">
            <v>6.55</v>
          </cell>
        </row>
        <row r="307">
          <cell r="A307">
            <v>5577150313</v>
          </cell>
          <cell r="B307">
            <v>42467</v>
          </cell>
          <cell r="D307">
            <v>7.5666666666666664</v>
          </cell>
        </row>
        <row r="308">
          <cell r="A308">
            <v>5577150313</v>
          </cell>
          <cell r="B308">
            <v>42468</v>
          </cell>
          <cell r="D308">
            <v>7.5166666666666666</v>
          </cell>
        </row>
        <row r="309">
          <cell r="A309">
            <v>5577150313</v>
          </cell>
          <cell r="B309">
            <v>42469</v>
          </cell>
          <cell r="D309">
            <v>8.3166666666666664</v>
          </cell>
        </row>
        <row r="310">
          <cell r="A310">
            <v>5577150313</v>
          </cell>
          <cell r="B310">
            <v>42470</v>
          </cell>
          <cell r="D310">
            <v>6.8666666666666663</v>
          </cell>
        </row>
        <row r="311">
          <cell r="A311">
            <v>5577150313</v>
          </cell>
          <cell r="B311">
            <v>42471</v>
          </cell>
          <cell r="D311">
            <v>5.2</v>
          </cell>
        </row>
        <row r="312">
          <cell r="A312">
            <v>6117666160</v>
          </cell>
          <cell r="B312">
            <v>42440</v>
          </cell>
          <cell r="D312">
            <v>1.3</v>
          </cell>
        </row>
        <row r="313">
          <cell r="A313">
            <v>6117666160</v>
          </cell>
          <cell r="B313">
            <v>42441</v>
          </cell>
          <cell r="D313">
            <v>10.733333333333333</v>
          </cell>
        </row>
        <row r="314">
          <cell r="A314">
            <v>6117666160</v>
          </cell>
          <cell r="B314">
            <v>42442</v>
          </cell>
          <cell r="D314">
            <v>1.95</v>
          </cell>
        </row>
        <row r="315">
          <cell r="A315">
            <v>6117666160</v>
          </cell>
          <cell r="B315">
            <v>42443</v>
          </cell>
          <cell r="D315">
            <v>10.433333333333334</v>
          </cell>
        </row>
        <row r="316">
          <cell r="A316">
            <v>6117666160</v>
          </cell>
          <cell r="B316">
            <v>42444</v>
          </cell>
          <cell r="D316">
            <v>8.0333333333333332</v>
          </cell>
        </row>
        <row r="317">
          <cell r="A317">
            <v>6117666160</v>
          </cell>
          <cell r="B317">
            <v>42445</v>
          </cell>
          <cell r="D317">
            <v>10.1</v>
          </cell>
        </row>
        <row r="318">
          <cell r="A318">
            <v>6117666160</v>
          </cell>
          <cell r="B318">
            <v>42446</v>
          </cell>
          <cell r="D318">
            <v>10.633333333333333</v>
          </cell>
        </row>
        <row r="319">
          <cell r="A319">
            <v>6117666160</v>
          </cell>
          <cell r="B319">
            <v>42447</v>
          </cell>
          <cell r="D319">
            <v>9.9666666666666668</v>
          </cell>
        </row>
        <row r="320">
          <cell r="A320">
            <v>6117666160</v>
          </cell>
          <cell r="B320">
            <v>42448</v>
          </cell>
          <cell r="D320">
            <v>10.183333333333334</v>
          </cell>
        </row>
        <row r="321">
          <cell r="A321">
            <v>6117666160</v>
          </cell>
          <cell r="B321">
            <v>42449</v>
          </cell>
          <cell r="D321">
            <v>8.9166666666666661</v>
          </cell>
        </row>
        <row r="322">
          <cell r="A322">
            <v>6117666160</v>
          </cell>
          <cell r="B322">
            <v>42450</v>
          </cell>
          <cell r="D322">
            <v>8.2166666666666668</v>
          </cell>
        </row>
        <row r="323">
          <cell r="A323">
            <v>6117666160</v>
          </cell>
          <cell r="B323">
            <v>42451</v>
          </cell>
          <cell r="D323">
            <v>6.2666666666666666</v>
          </cell>
        </row>
        <row r="324">
          <cell r="A324">
            <v>6117666160</v>
          </cell>
          <cell r="B324">
            <v>42452</v>
          </cell>
          <cell r="D324">
            <v>8.0666666666666664</v>
          </cell>
        </row>
        <row r="325">
          <cell r="A325">
            <v>6117666160</v>
          </cell>
          <cell r="B325">
            <v>42453</v>
          </cell>
          <cell r="D325">
            <v>11.65</v>
          </cell>
        </row>
        <row r="326">
          <cell r="A326">
            <v>6117666160</v>
          </cell>
          <cell r="B326">
            <v>42454</v>
          </cell>
          <cell r="D326">
            <v>8.5</v>
          </cell>
        </row>
        <row r="327">
          <cell r="A327">
            <v>6117666160</v>
          </cell>
          <cell r="B327">
            <v>42455</v>
          </cell>
          <cell r="D327">
            <v>7.2666666666666666</v>
          </cell>
        </row>
        <row r="328">
          <cell r="A328">
            <v>6117666160</v>
          </cell>
          <cell r="B328">
            <v>42456</v>
          </cell>
          <cell r="D328">
            <v>8.2666666666666675</v>
          </cell>
        </row>
        <row r="329">
          <cell r="A329">
            <v>6117666160</v>
          </cell>
          <cell r="B329">
            <v>42457</v>
          </cell>
          <cell r="D329">
            <v>0.35</v>
          </cell>
        </row>
        <row r="330">
          <cell r="A330">
            <v>6117666160</v>
          </cell>
          <cell r="B330">
            <v>42458</v>
          </cell>
          <cell r="D330">
            <v>9.2666666666666675</v>
          </cell>
        </row>
        <row r="331">
          <cell r="A331">
            <v>6117666160</v>
          </cell>
          <cell r="B331">
            <v>42459</v>
          </cell>
          <cell r="D331">
            <v>1.6833333333333333</v>
          </cell>
        </row>
        <row r="332">
          <cell r="A332">
            <v>6117666160</v>
          </cell>
          <cell r="B332">
            <v>42460</v>
          </cell>
          <cell r="D332">
            <v>9.8166666666666664</v>
          </cell>
        </row>
        <row r="333">
          <cell r="A333">
            <v>6117666160</v>
          </cell>
          <cell r="B333">
            <v>42461</v>
          </cell>
          <cell r="D333">
            <v>9.3000000000000007</v>
          </cell>
        </row>
        <row r="334">
          <cell r="A334">
            <v>6117666160</v>
          </cell>
          <cell r="B334">
            <v>42462</v>
          </cell>
          <cell r="D334">
            <v>7.5666666666666664</v>
          </cell>
        </row>
        <row r="335">
          <cell r="A335">
            <v>6117666160</v>
          </cell>
          <cell r="B335">
            <v>42465</v>
          </cell>
          <cell r="D335">
            <v>1.0166666666666666</v>
          </cell>
        </row>
        <row r="336">
          <cell r="A336">
            <v>6117666160</v>
          </cell>
          <cell r="B336">
            <v>42466</v>
          </cell>
          <cell r="D336">
            <v>8.7166666666666668</v>
          </cell>
        </row>
        <row r="337">
          <cell r="A337">
            <v>6117666160</v>
          </cell>
          <cell r="B337">
            <v>42467</v>
          </cell>
          <cell r="D337">
            <v>8.3166666666666664</v>
          </cell>
        </row>
        <row r="338">
          <cell r="A338">
            <v>6117666160</v>
          </cell>
          <cell r="B338">
            <v>42469</v>
          </cell>
          <cell r="D338">
            <v>7.25</v>
          </cell>
        </row>
        <row r="339">
          <cell r="A339">
            <v>6775888955</v>
          </cell>
          <cell r="B339">
            <v>42440</v>
          </cell>
          <cell r="D339">
            <v>1.1000000000000001</v>
          </cell>
        </row>
        <row r="340">
          <cell r="A340">
            <v>6775888955</v>
          </cell>
          <cell r="B340">
            <v>42441</v>
          </cell>
          <cell r="D340">
            <v>7.0166666666666666</v>
          </cell>
        </row>
        <row r="341">
          <cell r="A341">
            <v>6775888955</v>
          </cell>
          <cell r="B341">
            <v>42442</v>
          </cell>
          <cell r="D341">
            <v>0.6166666666666667</v>
          </cell>
        </row>
        <row r="342">
          <cell r="A342">
            <v>6775888955</v>
          </cell>
          <cell r="B342">
            <v>42443</v>
          </cell>
          <cell r="D342">
            <v>9.8333333333333339</v>
          </cell>
        </row>
        <row r="343">
          <cell r="A343">
            <v>6775888955</v>
          </cell>
          <cell r="B343">
            <v>42444</v>
          </cell>
          <cell r="D343">
            <v>1.9833333333333334</v>
          </cell>
        </row>
        <row r="344">
          <cell r="A344">
            <v>6775888955</v>
          </cell>
          <cell r="B344">
            <v>42447</v>
          </cell>
          <cell r="D344">
            <v>4.6333333333333337</v>
          </cell>
        </row>
        <row r="345">
          <cell r="A345">
            <v>6775888955</v>
          </cell>
          <cell r="B345">
            <v>42448</v>
          </cell>
          <cell r="D345">
            <v>6.45</v>
          </cell>
        </row>
        <row r="346">
          <cell r="A346">
            <v>6775888955</v>
          </cell>
          <cell r="B346">
            <v>42450</v>
          </cell>
          <cell r="D346">
            <v>6.0666666666666664</v>
          </cell>
        </row>
        <row r="347">
          <cell r="A347">
            <v>6775888955</v>
          </cell>
          <cell r="B347">
            <v>42454</v>
          </cell>
          <cell r="D347">
            <v>0.6</v>
          </cell>
        </row>
        <row r="348">
          <cell r="A348">
            <v>6775888955</v>
          </cell>
          <cell r="B348">
            <v>42455</v>
          </cell>
          <cell r="D348">
            <v>5.5333333333333332</v>
          </cell>
        </row>
        <row r="349">
          <cell r="A349">
            <v>6775888955</v>
          </cell>
          <cell r="B349">
            <v>42456</v>
          </cell>
          <cell r="D349">
            <v>6.05</v>
          </cell>
        </row>
        <row r="350">
          <cell r="A350">
            <v>6775888955</v>
          </cell>
          <cell r="B350">
            <v>42457</v>
          </cell>
          <cell r="D350">
            <v>7.5666666666666664</v>
          </cell>
        </row>
        <row r="351">
          <cell r="A351">
            <v>6775888955</v>
          </cell>
          <cell r="B351">
            <v>42460</v>
          </cell>
          <cell r="D351">
            <v>4.833333333333333</v>
          </cell>
        </row>
        <row r="352">
          <cell r="A352">
            <v>6775888955</v>
          </cell>
          <cell r="B352">
            <v>42461</v>
          </cell>
          <cell r="D352">
            <v>0.16666666666666666</v>
          </cell>
        </row>
        <row r="353">
          <cell r="A353">
            <v>6775888955</v>
          </cell>
          <cell r="B353">
            <v>42462</v>
          </cell>
          <cell r="D353">
            <v>7.15</v>
          </cell>
        </row>
        <row r="354">
          <cell r="A354">
            <v>6775888955</v>
          </cell>
          <cell r="B354">
            <v>42466</v>
          </cell>
          <cell r="D354">
            <v>7.35</v>
          </cell>
        </row>
        <row r="355">
          <cell r="A355">
            <v>6775888955</v>
          </cell>
          <cell r="B355">
            <v>42467</v>
          </cell>
          <cell r="D355">
            <v>4.583333333333333</v>
          </cell>
        </row>
        <row r="356">
          <cell r="A356">
            <v>6962181067</v>
          </cell>
          <cell r="B356">
            <v>42440</v>
          </cell>
          <cell r="D356">
            <v>0.38333333333333336</v>
          </cell>
        </row>
        <row r="357">
          <cell r="A357">
            <v>6962181067</v>
          </cell>
          <cell r="B357">
            <v>42441</v>
          </cell>
          <cell r="D357">
            <v>8.6999999999999993</v>
          </cell>
        </row>
        <row r="358">
          <cell r="A358">
            <v>6962181067</v>
          </cell>
          <cell r="B358">
            <v>42442</v>
          </cell>
          <cell r="D358">
            <v>8.0500000000000007</v>
          </cell>
        </row>
        <row r="359">
          <cell r="A359">
            <v>6962181067</v>
          </cell>
          <cell r="B359">
            <v>42443</v>
          </cell>
          <cell r="D359">
            <v>7.1833333333333336</v>
          </cell>
        </row>
        <row r="360">
          <cell r="A360">
            <v>6962181067</v>
          </cell>
          <cell r="B360">
            <v>42444</v>
          </cell>
          <cell r="D360">
            <v>6</v>
          </cell>
        </row>
        <row r="361">
          <cell r="A361">
            <v>6962181067</v>
          </cell>
          <cell r="B361">
            <v>42445</v>
          </cell>
          <cell r="D361">
            <v>5.4833333333333334</v>
          </cell>
        </row>
        <row r="362">
          <cell r="A362">
            <v>6962181067</v>
          </cell>
          <cell r="B362">
            <v>42446</v>
          </cell>
          <cell r="D362">
            <v>6.35</v>
          </cell>
        </row>
        <row r="363">
          <cell r="A363">
            <v>6962181067</v>
          </cell>
          <cell r="B363">
            <v>42447</v>
          </cell>
          <cell r="D363">
            <v>7.0166666666666666</v>
          </cell>
        </row>
        <row r="364">
          <cell r="A364">
            <v>6962181067</v>
          </cell>
          <cell r="B364">
            <v>42448</v>
          </cell>
          <cell r="D364">
            <v>8.1166666666666671</v>
          </cell>
        </row>
        <row r="365">
          <cell r="A365">
            <v>6962181067</v>
          </cell>
          <cell r="B365">
            <v>42449</v>
          </cell>
          <cell r="D365">
            <v>7.4833333333333334</v>
          </cell>
        </row>
        <row r="366">
          <cell r="A366">
            <v>6962181067</v>
          </cell>
          <cell r="B366">
            <v>42450</v>
          </cell>
          <cell r="D366">
            <v>7.1166666666666663</v>
          </cell>
        </row>
        <row r="367">
          <cell r="A367">
            <v>6962181067</v>
          </cell>
          <cell r="B367">
            <v>42451</v>
          </cell>
          <cell r="D367">
            <v>8.9499999999999993</v>
          </cell>
        </row>
        <row r="368">
          <cell r="A368">
            <v>6962181067</v>
          </cell>
          <cell r="B368">
            <v>42452</v>
          </cell>
          <cell r="D368">
            <v>9.3833333333333329</v>
          </cell>
        </row>
        <row r="369">
          <cell r="A369">
            <v>6962181067</v>
          </cell>
          <cell r="B369">
            <v>42453</v>
          </cell>
          <cell r="D369">
            <v>7.6833333333333336</v>
          </cell>
        </row>
        <row r="370">
          <cell r="A370">
            <v>6962181067</v>
          </cell>
          <cell r="B370">
            <v>42454</v>
          </cell>
          <cell r="D370">
            <v>8.3833333333333329</v>
          </cell>
        </row>
        <row r="371">
          <cell r="A371">
            <v>6962181067</v>
          </cell>
          <cell r="B371">
            <v>42455</v>
          </cell>
          <cell r="D371">
            <v>7.9333333333333336</v>
          </cell>
        </row>
        <row r="372">
          <cell r="A372">
            <v>6962181067</v>
          </cell>
          <cell r="B372">
            <v>42456</v>
          </cell>
          <cell r="D372">
            <v>8.6</v>
          </cell>
        </row>
        <row r="373">
          <cell r="A373">
            <v>6962181067</v>
          </cell>
          <cell r="B373">
            <v>42457</v>
          </cell>
          <cell r="D373">
            <v>8.5833333333333339</v>
          </cell>
        </row>
        <row r="374">
          <cell r="A374">
            <v>6962181067</v>
          </cell>
          <cell r="B374">
            <v>42458</v>
          </cell>
          <cell r="D374">
            <v>6.6166666666666663</v>
          </cell>
        </row>
        <row r="375">
          <cell r="A375">
            <v>6962181067</v>
          </cell>
          <cell r="B375">
            <v>42459</v>
          </cell>
          <cell r="D375">
            <v>6.9666666666666668</v>
          </cell>
        </row>
        <row r="376">
          <cell r="A376">
            <v>6962181067</v>
          </cell>
          <cell r="B376">
            <v>42460</v>
          </cell>
          <cell r="D376">
            <v>8.4833333333333325</v>
          </cell>
        </row>
        <row r="377">
          <cell r="A377">
            <v>6962181067</v>
          </cell>
          <cell r="B377">
            <v>42461</v>
          </cell>
          <cell r="D377">
            <v>8.7833333333333332</v>
          </cell>
        </row>
        <row r="378">
          <cell r="A378">
            <v>6962181067</v>
          </cell>
          <cell r="B378">
            <v>42462</v>
          </cell>
          <cell r="D378">
            <v>6.65</v>
          </cell>
        </row>
        <row r="379">
          <cell r="A379">
            <v>6962181067</v>
          </cell>
          <cell r="B379">
            <v>42463</v>
          </cell>
          <cell r="D379">
            <v>8.9499999999999993</v>
          </cell>
        </row>
        <row r="380">
          <cell r="A380">
            <v>6962181067</v>
          </cell>
          <cell r="B380">
            <v>42464</v>
          </cell>
          <cell r="D380">
            <v>6.05</v>
          </cell>
        </row>
        <row r="381">
          <cell r="A381">
            <v>6962181067</v>
          </cell>
          <cell r="B381">
            <v>42465</v>
          </cell>
          <cell r="D381">
            <v>5.9666666666666668</v>
          </cell>
        </row>
        <row r="382">
          <cell r="A382">
            <v>6962181067</v>
          </cell>
          <cell r="B382">
            <v>42466</v>
          </cell>
          <cell r="D382">
            <v>7.9</v>
          </cell>
        </row>
        <row r="383">
          <cell r="A383">
            <v>6962181067</v>
          </cell>
          <cell r="B383">
            <v>42467</v>
          </cell>
          <cell r="D383">
            <v>7.05</v>
          </cell>
        </row>
        <row r="384">
          <cell r="A384">
            <v>6962181067</v>
          </cell>
          <cell r="B384">
            <v>42468</v>
          </cell>
          <cell r="D384">
            <v>6.7</v>
          </cell>
        </row>
        <row r="385">
          <cell r="A385">
            <v>6962181067</v>
          </cell>
          <cell r="B385">
            <v>42469</v>
          </cell>
          <cell r="D385">
            <v>7.2333333333333334</v>
          </cell>
        </row>
        <row r="386">
          <cell r="A386">
            <v>6962181067</v>
          </cell>
          <cell r="B386">
            <v>42470</v>
          </cell>
          <cell r="D386">
            <v>6.9</v>
          </cell>
        </row>
        <row r="387">
          <cell r="A387">
            <v>6962181067</v>
          </cell>
          <cell r="B387">
            <v>42471</v>
          </cell>
          <cell r="D387">
            <v>6.55</v>
          </cell>
        </row>
        <row r="388">
          <cell r="A388">
            <v>6962181067</v>
          </cell>
          <cell r="B388">
            <v>42472</v>
          </cell>
          <cell r="D388">
            <v>6.1</v>
          </cell>
        </row>
        <row r="389">
          <cell r="A389">
            <v>7007744171</v>
          </cell>
          <cell r="B389">
            <v>42443</v>
          </cell>
          <cell r="D389">
            <v>1.45</v>
          </cell>
        </row>
        <row r="390">
          <cell r="A390">
            <v>7007744171</v>
          </cell>
          <cell r="B390">
            <v>42453</v>
          </cell>
          <cell r="D390">
            <v>1.0333333333333334</v>
          </cell>
        </row>
        <row r="391">
          <cell r="A391">
            <v>7007744171</v>
          </cell>
          <cell r="B391">
            <v>42455</v>
          </cell>
          <cell r="D391">
            <v>0.95</v>
          </cell>
        </row>
        <row r="392">
          <cell r="A392">
            <v>7007744171</v>
          </cell>
          <cell r="B392">
            <v>42459</v>
          </cell>
          <cell r="D392">
            <v>1.05</v>
          </cell>
        </row>
        <row r="393">
          <cell r="A393">
            <v>7007744171</v>
          </cell>
          <cell r="B393">
            <v>42462</v>
          </cell>
          <cell r="D393">
            <v>0.93333333333333335</v>
          </cell>
        </row>
        <row r="394">
          <cell r="A394">
            <v>7007744171</v>
          </cell>
          <cell r="B394">
            <v>42463</v>
          </cell>
          <cell r="D394">
            <v>1.1666666666666667</v>
          </cell>
        </row>
        <row r="395">
          <cell r="A395">
            <v>7007744171</v>
          </cell>
          <cell r="B395">
            <v>42465</v>
          </cell>
          <cell r="D395">
            <v>1.1000000000000001</v>
          </cell>
        </row>
        <row r="396">
          <cell r="A396">
            <v>7007744171</v>
          </cell>
          <cell r="B396">
            <v>42467</v>
          </cell>
          <cell r="D396">
            <v>1.05</v>
          </cell>
        </row>
        <row r="397">
          <cell r="A397">
            <v>7086361926</v>
          </cell>
          <cell r="B397">
            <v>42441</v>
          </cell>
          <cell r="D397">
            <v>9.2833333333333332</v>
          </cell>
        </row>
        <row r="398">
          <cell r="A398">
            <v>7086361926</v>
          </cell>
          <cell r="B398">
            <v>42442</v>
          </cell>
          <cell r="D398">
            <v>0.33333333333333331</v>
          </cell>
        </row>
        <row r="399">
          <cell r="A399">
            <v>7086361926</v>
          </cell>
          <cell r="B399">
            <v>42443</v>
          </cell>
          <cell r="D399">
            <v>6.9</v>
          </cell>
        </row>
        <row r="400">
          <cell r="A400">
            <v>7086361926</v>
          </cell>
          <cell r="B400">
            <v>42444</v>
          </cell>
          <cell r="D400">
            <v>6.5333333333333332</v>
          </cell>
        </row>
        <row r="401">
          <cell r="A401">
            <v>7086361926</v>
          </cell>
          <cell r="B401">
            <v>42445</v>
          </cell>
          <cell r="D401">
            <v>6.7333333333333334</v>
          </cell>
        </row>
        <row r="402">
          <cell r="A402">
            <v>7086361926</v>
          </cell>
          <cell r="B402">
            <v>42446</v>
          </cell>
          <cell r="D402">
            <v>6.6</v>
          </cell>
        </row>
        <row r="403">
          <cell r="A403">
            <v>7086361926</v>
          </cell>
          <cell r="B403">
            <v>42449</v>
          </cell>
          <cell r="D403">
            <v>7.666666666666667</v>
          </cell>
        </row>
        <row r="404">
          <cell r="A404">
            <v>7086361926</v>
          </cell>
          <cell r="B404">
            <v>42450</v>
          </cell>
          <cell r="D404">
            <v>8.6833333333333336</v>
          </cell>
        </row>
        <row r="405">
          <cell r="A405">
            <v>7086361926</v>
          </cell>
          <cell r="B405">
            <v>42452</v>
          </cell>
          <cell r="D405">
            <v>7.333333333333333</v>
          </cell>
        </row>
        <row r="406">
          <cell r="A406">
            <v>7086361926</v>
          </cell>
          <cell r="B406">
            <v>42454</v>
          </cell>
          <cell r="D406">
            <v>4.6833333333333336</v>
          </cell>
        </row>
        <row r="407">
          <cell r="A407">
            <v>7086361926</v>
          </cell>
          <cell r="B407">
            <v>42455</v>
          </cell>
          <cell r="D407">
            <v>5.1833333333333336</v>
          </cell>
        </row>
        <row r="408">
          <cell r="A408">
            <v>7086361926</v>
          </cell>
          <cell r="B408">
            <v>42456</v>
          </cell>
          <cell r="D408">
            <v>1.1333333333333333</v>
          </cell>
        </row>
        <row r="409">
          <cell r="A409">
            <v>7086361926</v>
          </cell>
          <cell r="B409">
            <v>42457</v>
          </cell>
          <cell r="D409">
            <v>3.8</v>
          </cell>
        </row>
        <row r="410">
          <cell r="A410">
            <v>7086361926</v>
          </cell>
          <cell r="B410">
            <v>42458</v>
          </cell>
          <cell r="D410">
            <v>7.833333333333333</v>
          </cell>
        </row>
        <row r="411">
          <cell r="A411">
            <v>7086361926</v>
          </cell>
          <cell r="B411">
            <v>42459</v>
          </cell>
          <cell r="D411">
            <v>10.25</v>
          </cell>
        </row>
        <row r="412">
          <cell r="A412">
            <v>7086361926</v>
          </cell>
          <cell r="B412">
            <v>42460</v>
          </cell>
          <cell r="D412">
            <v>10.583333333333334</v>
          </cell>
        </row>
        <row r="413">
          <cell r="A413">
            <v>7086361926</v>
          </cell>
          <cell r="B413">
            <v>42461</v>
          </cell>
          <cell r="D413">
            <v>6.833333333333333</v>
          </cell>
        </row>
        <row r="414">
          <cell r="A414">
            <v>7086361926</v>
          </cell>
          <cell r="B414">
            <v>42462</v>
          </cell>
          <cell r="D414">
            <v>9.1999999999999993</v>
          </cell>
        </row>
        <row r="415">
          <cell r="A415">
            <v>7086361926</v>
          </cell>
          <cell r="B415">
            <v>42465</v>
          </cell>
          <cell r="D415">
            <v>1.4833333333333334</v>
          </cell>
        </row>
        <row r="416">
          <cell r="A416">
            <v>7086361926</v>
          </cell>
          <cell r="B416">
            <v>42466</v>
          </cell>
          <cell r="D416">
            <v>7.5666666666666664</v>
          </cell>
        </row>
        <row r="417">
          <cell r="A417">
            <v>7086361926</v>
          </cell>
          <cell r="B417">
            <v>42467</v>
          </cell>
          <cell r="D417">
            <v>8.3833333333333329</v>
          </cell>
        </row>
        <row r="418">
          <cell r="A418">
            <v>7086361926</v>
          </cell>
          <cell r="B418">
            <v>42468</v>
          </cell>
          <cell r="D418">
            <v>6.4833333333333334</v>
          </cell>
        </row>
        <row r="419">
          <cell r="A419">
            <v>7086361926</v>
          </cell>
          <cell r="B419">
            <v>42469</v>
          </cell>
          <cell r="D419">
            <v>7.7666666666666666</v>
          </cell>
        </row>
        <row r="420">
          <cell r="A420">
            <v>7086361926</v>
          </cell>
          <cell r="B420">
            <v>42470</v>
          </cell>
          <cell r="D420">
            <v>0.6</v>
          </cell>
        </row>
        <row r="421">
          <cell r="A421">
            <v>7086361926</v>
          </cell>
          <cell r="B421">
            <v>42471</v>
          </cell>
          <cell r="D421">
            <v>8.2833333333333332</v>
          </cell>
        </row>
        <row r="422">
          <cell r="A422">
            <v>7086361926</v>
          </cell>
          <cell r="B422">
            <v>42472</v>
          </cell>
          <cell r="D422">
            <v>6.833333333333333</v>
          </cell>
        </row>
        <row r="423">
          <cell r="A423">
            <v>8053475328</v>
          </cell>
          <cell r="B423">
            <v>42458</v>
          </cell>
          <cell r="D423">
            <v>8.3000000000000007</v>
          </cell>
        </row>
        <row r="424">
          <cell r="A424">
            <v>8378563200</v>
          </cell>
          <cell r="B424">
            <v>42440</v>
          </cell>
          <cell r="D424">
            <v>1.8333333333333333</v>
          </cell>
        </row>
        <row r="425">
          <cell r="A425">
            <v>8378563200</v>
          </cell>
          <cell r="B425">
            <v>42441</v>
          </cell>
          <cell r="D425">
            <v>9.6166666666666671</v>
          </cell>
        </row>
        <row r="426">
          <cell r="A426">
            <v>8378563200</v>
          </cell>
          <cell r="B426">
            <v>42442</v>
          </cell>
          <cell r="D426">
            <v>8.6833333333333336</v>
          </cell>
        </row>
        <row r="427">
          <cell r="A427">
            <v>8378563200</v>
          </cell>
          <cell r="B427">
            <v>42443</v>
          </cell>
          <cell r="D427">
            <v>5.5166666666666666</v>
          </cell>
        </row>
        <row r="428">
          <cell r="A428">
            <v>8378563200</v>
          </cell>
          <cell r="B428">
            <v>42444</v>
          </cell>
          <cell r="D428">
            <v>5.8166666666666664</v>
          </cell>
        </row>
        <row r="429">
          <cell r="A429">
            <v>8378563200</v>
          </cell>
          <cell r="B429">
            <v>42445</v>
          </cell>
          <cell r="D429">
            <v>6.3666666666666663</v>
          </cell>
        </row>
        <row r="430">
          <cell r="A430">
            <v>8378563200</v>
          </cell>
          <cell r="B430">
            <v>42446</v>
          </cell>
          <cell r="D430">
            <v>6.5</v>
          </cell>
        </row>
        <row r="431">
          <cell r="A431">
            <v>8378563200</v>
          </cell>
          <cell r="B431">
            <v>42447</v>
          </cell>
          <cell r="D431">
            <v>9.35</v>
          </cell>
        </row>
        <row r="432">
          <cell r="A432">
            <v>8378563200</v>
          </cell>
          <cell r="B432">
            <v>42448</v>
          </cell>
          <cell r="D432">
            <v>8.15</v>
          </cell>
        </row>
        <row r="433">
          <cell r="A433">
            <v>8378563200</v>
          </cell>
          <cell r="B433">
            <v>42449</v>
          </cell>
          <cell r="D433">
            <v>7.3833333333333337</v>
          </cell>
        </row>
        <row r="434">
          <cell r="A434">
            <v>8378563200</v>
          </cell>
          <cell r="B434">
            <v>42450</v>
          </cell>
          <cell r="D434">
            <v>6.9333333333333336</v>
          </cell>
        </row>
        <row r="435">
          <cell r="A435">
            <v>8378563200</v>
          </cell>
          <cell r="B435">
            <v>42451</v>
          </cell>
          <cell r="D435">
            <v>7.416666666666667</v>
          </cell>
        </row>
        <row r="436">
          <cell r="A436">
            <v>8378563200</v>
          </cell>
          <cell r="B436">
            <v>42452</v>
          </cell>
          <cell r="D436">
            <v>5.9333333333333336</v>
          </cell>
        </row>
        <row r="437">
          <cell r="A437">
            <v>8378563200</v>
          </cell>
          <cell r="B437">
            <v>42453</v>
          </cell>
          <cell r="D437">
            <v>7</v>
          </cell>
        </row>
        <row r="438">
          <cell r="A438">
            <v>8378563200</v>
          </cell>
          <cell r="B438">
            <v>42454</v>
          </cell>
          <cell r="D438">
            <v>4.5166666666666666</v>
          </cell>
        </row>
        <row r="439">
          <cell r="A439">
            <v>8378563200</v>
          </cell>
          <cell r="B439">
            <v>42455</v>
          </cell>
          <cell r="D439">
            <v>10.25</v>
          </cell>
        </row>
        <row r="440">
          <cell r="A440">
            <v>8378563200</v>
          </cell>
          <cell r="B440">
            <v>42456</v>
          </cell>
          <cell r="D440">
            <v>9.4666666666666668</v>
          </cell>
        </row>
        <row r="441">
          <cell r="A441">
            <v>8378563200</v>
          </cell>
          <cell r="B441">
            <v>42457</v>
          </cell>
          <cell r="D441">
            <v>7.2333333333333334</v>
          </cell>
        </row>
        <row r="442">
          <cell r="A442">
            <v>8378563200</v>
          </cell>
          <cell r="B442">
            <v>42458</v>
          </cell>
          <cell r="D442">
            <v>5.35</v>
          </cell>
        </row>
        <row r="443">
          <cell r="A443">
            <v>8378563200</v>
          </cell>
          <cell r="B443">
            <v>42459</v>
          </cell>
          <cell r="D443">
            <v>9.3833333333333329</v>
          </cell>
        </row>
        <row r="444">
          <cell r="A444">
            <v>8378563200</v>
          </cell>
          <cell r="B444">
            <v>42460</v>
          </cell>
          <cell r="D444">
            <v>7.1333333333333337</v>
          </cell>
        </row>
        <row r="445">
          <cell r="A445">
            <v>8378563200</v>
          </cell>
          <cell r="B445">
            <v>42461</v>
          </cell>
          <cell r="D445">
            <v>6.8</v>
          </cell>
        </row>
        <row r="446">
          <cell r="A446">
            <v>8378563200</v>
          </cell>
          <cell r="B446">
            <v>42462</v>
          </cell>
          <cell r="D446">
            <v>9.6999999999999993</v>
          </cell>
        </row>
        <row r="447">
          <cell r="A447">
            <v>8378563200</v>
          </cell>
          <cell r="B447">
            <v>42463</v>
          </cell>
          <cell r="D447">
            <v>8.8166666666666664</v>
          </cell>
        </row>
        <row r="448">
          <cell r="A448">
            <v>8378563200</v>
          </cell>
          <cell r="B448">
            <v>42464</v>
          </cell>
          <cell r="D448">
            <v>6.95</v>
          </cell>
        </row>
        <row r="449">
          <cell r="A449">
            <v>8378563200</v>
          </cell>
          <cell r="B449">
            <v>42465</v>
          </cell>
          <cell r="D449">
            <v>6.9</v>
          </cell>
        </row>
        <row r="450">
          <cell r="A450">
            <v>8378563200</v>
          </cell>
          <cell r="B450">
            <v>42466</v>
          </cell>
          <cell r="D450">
            <v>6.7166666666666668</v>
          </cell>
        </row>
        <row r="451">
          <cell r="A451">
            <v>8378563200</v>
          </cell>
          <cell r="B451">
            <v>42467</v>
          </cell>
          <cell r="D451">
            <v>7.6333333333333337</v>
          </cell>
        </row>
        <row r="452">
          <cell r="A452">
            <v>8378563200</v>
          </cell>
          <cell r="B452">
            <v>42468</v>
          </cell>
          <cell r="D452">
            <v>5.0333333333333332</v>
          </cell>
        </row>
        <row r="453">
          <cell r="A453">
            <v>8378563200</v>
          </cell>
          <cell r="B453">
            <v>42469</v>
          </cell>
          <cell r="D453">
            <v>6.75</v>
          </cell>
        </row>
        <row r="454">
          <cell r="A454">
            <v>8378563200</v>
          </cell>
          <cell r="B454">
            <v>42470</v>
          </cell>
          <cell r="D454">
            <v>9.4666666666666668</v>
          </cell>
        </row>
        <row r="455">
          <cell r="A455">
            <v>8378563200</v>
          </cell>
          <cell r="B455">
            <v>42471</v>
          </cell>
          <cell r="D455">
            <v>5.5</v>
          </cell>
        </row>
        <row r="456">
          <cell r="A456">
            <v>8378563200</v>
          </cell>
          <cell r="B456">
            <v>42472</v>
          </cell>
          <cell r="D456">
            <v>4.1166666666666663</v>
          </cell>
        </row>
        <row r="457">
          <cell r="A457">
            <v>8792009665</v>
          </cell>
          <cell r="B457">
            <v>42456</v>
          </cell>
          <cell r="D457">
            <v>6.5166666666666666</v>
          </cell>
        </row>
        <row r="458">
          <cell r="A458">
            <v>8792009665</v>
          </cell>
          <cell r="B458">
            <v>42457</v>
          </cell>
          <cell r="D458">
            <v>6.4833333333333334</v>
          </cell>
        </row>
        <row r="459">
          <cell r="A459">
            <v>8792009665</v>
          </cell>
          <cell r="B459">
            <v>42458</v>
          </cell>
          <cell r="D459">
            <v>3.2666666666666666</v>
          </cell>
        </row>
        <row r="460">
          <cell r="A460">
            <v>8792009665</v>
          </cell>
          <cell r="B460">
            <v>42459</v>
          </cell>
          <cell r="D460">
            <v>7.3666666666666663</v>
          </cell>
        </row>
        <row r="461">
          <cell r="A461">
            <v>8792009665</v>
          </cell>
          <cell r="B461">
            <v>42461</v>
          </cell>
          <cell r="D461">
            <v>8</v>
          </cell>
        </row>
        <row r="462">
          <cell r="A462">
            <v>8792009665</v>
          </cell>
          <cell r="B462">
            <v>42463</v>
          </cell>
          <cell r="D462">
            <v>7.9833333333333334</v>
          </cell>
        </row>
        <row r="463">
          <cell r="A463">
            <v>8792009665</v>
          </cell>
          <cell r="B463">
            <v>42464</v>
          </cell>
          <cell r="D463">
            <v>9.4333333333333336</v>
          </cell>
        </row>
        <row r="464">
          <cell r="A464">
            <v>8792009665</v>
          </cell>
          <cell r="B464">
            <v>42465</v>
          </cell>
          <cell r="D464">
            <v>6.4</v>
          </cell>
        </row>
        <row r="465">
          <cell r="A465">
            <v>8792009665</v>
          </cell>
          <cell r="B465">
            <v>42466</v>
          </cell>
          <cell r="D465">
            <v>7.1166666666666663</v>
          </cell>
        </row>
        <row r="466">
          <cell r="A466">
            <v>8792009665</v>
          </cell>
          <cell r="B466">
            <v>42467</v>
          </cell>
          <cell r="D466">
            <v>7.4333333333333336</v>
          </cell>
        </row>
        <row r="467">
          <cell r="A467">
            <v>8792009665</v>
          </cell>
          <cell r="B467">
            <v>42468</v>
          </cell>
          <cell r="D467">
            <v>7.0666666666666664</v>
          </cell>
        </row>
        <row r="468">
          <cell r="A468">
            <v>8792009665</v>
          </cell>
          <cell r="B468">
            <v>42469</v>
          </cell>
          <cell r="D468">
            <v>10.016666666666667</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25C4B-3F62-46B8-94D1-74C2E0068CD4}">
  <dimension ref="A1:O458"/>
  <sheetViews>
    <sheetView topLeftCell="I1" zoomScale="74" workbookViewId="0">
      <selection activeCell="Q18" sqref="Q18"/>
    </sheetView>
  </sheetViews>
  <sheetFormatPr defaultRowHeight="13.5" x14ac:dyDescent="0.35"/>
  <cols>
    <col min="1" max="1" width="10.6875" bestFit="1" customWidth="1"/>
    <col min="2" max="2" width="10.125" bestFit="1" customWidth="1"/>
    <col min="3" max="3" width="9.4375" bestFit="1" customWidth="1"/>
    <col min="4" max="4" width="11.9375" bestFit="1" customWidth="1"/>
    <col min="5" max="5" width="14.125" bestFit="1" customWidth="1"/>
    <col min="6" max="6" width="21.1875" bestFit="1" customWidth="1"/>
    <col min="7" max="7" width="16.375" bestFit="1" customWidth="1"/>
    <col min="8" max="8" width="21.6875" bestFit="1" customWidth="1"/>
    <col min="9" max="9" width="16.6875" bestFit="1" customWidth="1"/>
    <col min="10" max="10" width="21" bestFit="1" customWidth="1"/>
    <col min="11" max="11" width="15.5625" bestFit="1" customWidth="1"/>
    <col min="12" max="12" width="16.375" bestFit="1" customWidth="1"/>
    <col min="13" max="13" width="17.1875" bestFit="1" customWidth="1"/>
    <col min="14" max="14" width="15.1875" bestFit="1" customWidth="1"/>
    <col min="17" max="17" width="10.937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1503960366</v>
      </c>
      <c r="B2" s="1">
        <v>42454</v>
      </c>
      <c r="C2">
        <v>11004</v>
      </c>
      <c r="D2">
        <v>7.1100001335143999</v>
      </c>
      <c r="E2">
        <v>7.1100001335143999</v>
      </c>
      <c r="F2">
        <v>0</v>
      </c>
      <c r="G2">
        <v>2.5699999332428001</v>
      </c>
      <c r="H2">
        <v>0.46000000834464999</v>
      </c>
      <c r="I2">
        <v>4.0700001716613796</v>
      </c>
      <c r="J2">
        <v>0</v>
      </c>
      <c r="K2">
        <v>33</v>
      </c>
      <c r="L2">
        <v>12</v>
      </c>
      <c r="M2">
        <v>205</v>
      </c>
      <c r="N2">
        <v>804</v>
      </c>
      <c r="O2">
        <v>1819</v>
      </c>
    </row>
    <row r="3" spans="1:15" x14ac:dyDescent="0.35">
      <c r="A3">
        <v>1503960366</v>
      </c>
      <c r="B3" s="1">
        <v>42455</v>
      </c>
      <c r="C3">
        <v>17609</v>
      </c>
      <c r="D3">
        <v>11.550000190734901</v>
      </c>
      <c r="E3">
        <v>11.550000190734901</v>
      </c>
      <c r="F3">
        <v>0</v>
      </c>
      <c r="G3">
        <v>6.9200000762939498</v>
      </c>
      <c r="H3">
        <v>0.730000019073486</v>
      </c>
      <c r="I3">
        <v>3.9100000858306898</v>
      </c>
      <c r="J3">
        <v>0</v>
      </c>
      <c r="K3">
        <v>89</v>
      </c>
      <c r="L3">
        <v>17</v>
      </c>
      <c r="M3">
        <v>274</v>
      </c>
      <c r="N3">
        <v>588</v>
      </c>
      <c r="O3">
        <v>2154</v>
      </c>
    </row>
    <row r="4" spans="1:15" x14ac:dyDescent="0.35">
      <c r="A4">
        <v>1503960366</v>
      </c>
      <c r="B4" s="1">
        <v>42456</v>
      </c>
      <c r="C4">
        <v>12736</v>
      </c>
      <c r="D4">
        <v>8.5299997329711896</v>
      </c>
      <c r="E4">
        <v>8.5299997329711896</v>
      </c>
      <c r="F4">
        <v>0</v>
      </c>
      <c r="G4">
        <v>4.6599998474121103</v>
      </c>
      <c r="H4">
        <v>0.15999999642372101</v>
      </c>
      <c r="I4">
        <v>3.71000003814697</v>
      </c>
      <c r="J4">
        <v>0</v>
      </c>
      <c r="K4">
        <v>56</v>
      </c>
      <c r="L4">
        <v>5</v>
      </c>
      <c r="M4">
        <v>268</v>
      </c>
      <c r="N4">
        <v>605</v>
      </c>
      <c r="O4">
        <v>1944</v>
      </c>
    </row>
    <row r="5" spans="1:15" x14ac:dyDescent="0.35">
      <c r="A5">
        <v>1503960366</v>
      </c>
      <c r="B5" s="1">
        <v>42457</v>
      </c>
      <c r="C5">
        <v>13231</v>
      </c>
      <c r="D5">
        <v>8.9300003051757795</v>
      </c>
      <c r="E5">
        <v>8.9300003051757795</v>
      </c>
      <c r="F5">
        <v>0</v>
      </c>
      <c r="G5">
        <v>3.1900000572204599</v>
      </c>
      <c r="H5">
        <v>0.79000002145767201</v>
      </c>
      <c r="I5">
        <v>4.9499998092651403</v>
      </c>
      <c r="J5">
        <v>0</v>
      </c>
      <c r="K5">
        <v>39</v>
      </c>
      <c r="L5">
        <v>20</v>
      </c>
      <c r="M5">
        <v>224</v>
      </c>
      <c r="N5">
        <v>1080</v>
      </c>
      <c r="O5">
        <v>1932</v>
      </c>
    </row>
    <row r="6" spans="1:15" x14ac:dyDescent="0.35">
      <c r="A6">
        <v>1503960366</v>
      </c>
      <c r="B6" s="1">
        <v>42458</v>
      </c>
      <c r="C6">
        <v>12041</v>
      </c>
      <c r="D6">
        <v>7.8499999046325701</v>
      </c>
      <c r="E6">
        <v>7.8499999046325701</v>
      </c>
      <c r="F6">
        <v>0</v>
      </c>
      <c r="G6">
        <v>2.1600000858306898</v>
      </c>
      <c r="H6">
        <v>1.0900000333786</v>
      </c>
      <c r="I6">
        <v>4.6100001335143999</v>
      </c>
      <c r="J6">
        <v>0</v>
      </c>
      <c r="K6">
        <v>28</v>
      </c>
      <c r="L6">
        <v>28</v>
      </c>
      <c r="M6">
        <v>243</v>
      </c>
      <c r="N6">
        <v>763</v>
      </c>
      <c r="O6">
        <v>1886</v>
      </c>
    </row>
    <row r="7" spans="1:15" x14ac:dyDescent="0.35">
      <c r="A7">
        <v>1503960366</v>
      </c>
      <c r="B7" s="1">
        <v>42459</v>
      </c>
      <c r="C7">
        <v>10970</v>
      </c>
      <c r="D7">
        <v>7.1599998474121103</v>
      </c>
      <c r="E7">
        <v>7.1599998474121103</v>
      </c>
      <c r="F7">
        <v>0</v>
      </c>
      <c r="G7">
        <v>2.3599998950958301</v>
      </c>
      <c r="H7">
        <v>0.50999999046325695</v>
      </c>
      <c r="I7">
        <v>4.28999996185303</v>
      </c>
      <c r="J7">
        <v>0</v>
      </c>
      <c r="K7">
        <v>30</v>
      </c>
      <c r="L7">
        <v>13</v>
      </c>
      <c r="M7">
        <v>223</v>
      </c>
      <c r="N7">
        <v>1174</v>
      </c>
      <c r="O7">
        <v>1820</v>
      </c>
    </row>
    <row r="8" spans="1:15" x14ac:dyDescent="0.35">
      <c r="A8">
        <v>1503960366</v>
      </c>
      <c r="B8" s="1">
        <v>42460</v>
      </c>
      <c r="C8">
        <v>12256</v>
      </c>
      <c r="D8">
        <v>7.8600001335143999</v>
      </c>
      <c r="E8">
        <v>7.8600001335143999</v>
      </c>
      <c r="F8">
        <v>0</v>
      </c>
      <c r="G8">
        <v>2.28999996185303</v>
      </c>
      <c r="H8">
        <v>0.490000009536743</v>
      </c>
      <c r="I8">
        <v>5.03999996185303</v>
      </c>
      <c r="J8">
        <v>0</v>
      </c>
      <c r="K8">
        <v>33</v>
      </c>
      <c r="L8">
        <v>12</v>
      </c>
      <c r="M8">
        <v>239</v>
      </c>
      <c r="N8">
        <v>820</v>
      </c>
      <c r="O8">
        <v>1889</v>
      </c>
    </row>
    <row r="9" spans="1:15" x14ac:dyDescent="0.35">
      <c r="A9">
        <v>1503960366</v>
      </c>
      <c r="B9" s="1">
        <v>42461</v>
      </c>
      <c r="C9">
        <v>12262</v>
      </c>
      <c r="D9">
        <v>7.8699998855590803</v>
      </c>
      <c r="E9">
        <v>7.8699998855590803</v>
      </c>
      <c r="F9">
        <v>0</v>
      </c>
      <c r="G9">
        <v>3.3199999332428001</v>
      </c>
      <c r="H9">
        <v>0.82999998331069902</v>
      </c>
      <c r="I9">
        <v>3.6400001049041699</v>
      </c>
      <c r="J9">
        <v>0</v>
      </c>
      <c r="K9">
        <v>47</v>
      </c>
      <c r="L9">
        <v>21</v>
      </c>
      <c r="M9">
        <v>200</v>
      </c>
      <c r="N9">
        <v>866</v>
      </c>
      <c r="O9">
        <v>1868</v>
      </c>
    </row>
    <row r="10" spans="1:15" x14ac:dyDescent="0.35">
      <c r="A10">
        <v>1503960366</v>
      </c>
      <c r="B10" s="1">
        <v>42462</v>
      </c>
      <c r="C10">
        <v>11248</v>
      </c>
      <c r="D10">
        <v>7.25</v>
      </c>
      <c r="E10">
        <v>7.25</v>
      </c>
      <c r="F10">
        <v>0</v>
      </c>
      <c r="G10">
        <v>3</v>
      </c>
      <c r="H10">
        <v>0.44999998807907099</v>
      </c>
      <c r="I10">
        <v>3.7400000095367401</v>
      </c>
      <c r="J10">
        <v>0</v>
      </c>
      <c r="K10">
        <v>40</v>
      </c>
      <c r="L10">
        <v>11</v>
      </c>
      <c r="M10">
        <v>244</v>
      </c>
      <c r="N10">
        <v>636</v>
      </c>
      <c r="O10">
        <v>1843</v>
      </c>
    </row>
    <row r="11" spans="1:15" x14ac:dyDescent="0.35">
      <c r="A11">
        <v>1503960366</v>
      </c>
      <c r="B11" s="1">
        <v>42463</v>
      </c>
      <c r="C11">
        <v>10016</v>
      </c>
      <c r="D11">
        <v>6.3699998855590803</v>
      </c>
      <c r="E11">
        <v>6.3699998855590803</v>
      </c>
      <c r="F11">
        <v>0</v>
      </c>
      <c r="G11">
        <v>0.91000002622604403</v>
      </c>
      <c r="H11">
        <v>1.2799999713897701</v>
      </c>
      <c r="I11">
        <v>4.1799998283386204</v>
      </c>
      <c r="J11">
        <v>0</v>
      </c>
      <c r="K11">
        <v>15</v>
      </c>
      <c r="L11">
        <v>30</v>
      </c>
      <c r="M11">
        <v>314</v>
      </c>
      <c r="N11">
        <v>655</v>
      </c>
      <c r="O11">
        <v>1850</v>
      </c>
    </row>
    <row r="12" spans="1:15" x14ac:dyDescent="0.35">
      <c r="A12">
        <v>1503960366</v>
      </c>
      <c r="B12" s="1">
        <v>42464</v>
      </c>
      <c r="C12">
        <v>14557</v>
      </c>
      <c r="D12">
        <v>9.8000001907348597</v>
      </c>
      <c r="E12">
        <v>9.8000001907348597</v>
      </c>
      <c r="F12">
        <v>0</v>
      </c>
      <c r="G12">
        <v>3.3900001049041699</v>
      </c>
      <c r="H12">
        <v>0.69999998807907104</v>
      </c>
      <c r="I12">
        <v>5.6900000572204599</v>
      </c>
      <c r="J12">
        <v>0</v>
      </c>
      <c r="K12">
        <v>43</v>
      </c>
      <c r="L12">
        <v>18</v>
      </c>
      <c r="M12">
        <v>285</v>
      </c>
      <c r="N12">
        <v>757</v>
      </c>
      <c r="O12">
        <v>2030</v>
      </c>
    </row>
    <row r="13" spans="1:15" x14ac:dyDescent="0.35">
      <c r="A13">
        <v>1503960366</v>
      </c>
      <c r="B13" s="1">
        <v>42465</v>
      </c>
      <c r="C13">
        <v>14844</v>
      </c>
      <c r="D13">
        <v>9.7299995422363299</v>
      </c>
      <c r="E13">
        <v>9.7299995422363299</v>
      </c>
      <c r="F13">
        <v>0</v>
      </c>
      <c r="G13">
        <v>2.9400000572204599</v>
      </c>
      <c r="H13">
        <v>0.75999999046325695</v>
      </c>
      <c r="I13">
        <v>6.03999996185303</v>
      </c>
      <c r="J13">
        <v>0</v>
      </c>
      <c r="K13">
        <v>36</v>
      </c>
      <c r="L13">
        <v>18</v>
      </c>
      <c r="M13">
        <v>341</v>
      </c>
      <c r="N13">
        <v>736</v>
      </c>
      <c r="O13">
        <v>2083</v>
      </c>
    </row>
    <row r="14" spans="1:15" x14ac:dyDescent="0.35">
      <c r="A14">
        <v>1503960366</v>
      </c>
      <c r="B14" s="1">
        <v>42466</v>
      </c>
      <c r="C14">
        <v>11974</v>
      </c>
      <c r="D14">
        <v>7.6700000762939498</v>
      </c>
      <c r="E14">
        <v>7.6700000762939498</v>
      </c>
      <c r="F14">
        <v>0</v>
      </c>
      <c r="G14">
        <v>2.03999996185303</v>
      </c>
      <c r="H14">
        <v>0.479999989271164</v>
      </c>
      <c r="I14">
        <v>5.1500000953674299</v>
      </c>
      <c r="J14">
        <v>0</v>
      </c>
      <c r="K14">
        <v>27</v>
      </c>
      <c r="L14">
        <v>12</v>
      </c>
      <c r="M14">
        <v>228</v>
      </c>
      <c r="N14">
        <v>1173</v>
      </c>
      <c r="O14">
        <v>1861</v>
      </c>
    </row>
    <row r="15" spans="1:15" x14ac:dyDescent="0.35">
      <c r="A15">
        <v>1503960366</v>
      </c>
      <c r="B15" s="1">
        <v>42467</v>
      </c>
      <c r="C15">
        <v>10198</v>
      </c>
      <c r="D15">
        <v>6.4400000572204599</v>
      </c>
      <c r="E15">
        <v>6.4400000572204599</v>
      </c>
      <c r="F15">
        <v>0</v>
      </c>
      <c r="G15">
        <v>1.20000004768372</v>
      </c>
      <c r="H15">
        <v>0.79000002145767201</v>
      </c>
      <c r="I15">
        <v>4.4499998092651403</v>
      </c>
      <c r="J15">
        <v>0</v>
      </c>
      <c r="K15">
        <v>17</v>
      </c>
      <c r="L15">
        <v>20</v>
      </c>
      <c r="M15">
        <v>195</v>
      </c>
      <c r="N15">
        <v>1208</v>
      </c>
      <c r="O15">
        <v>1755</v>
      </c>
    </row>
    <row r="16" spans="1:15" x14ac:dyDescent="0.35">
      <c r="A16">
        <v>1503960366</v>
      </c>
      <c r="B16" s="1">
        <v>42468</v>
      </c>
      <c r="C16">
        <v>12521</v>
      </c>
      <c r="D16">
        <v>7.9400000572204599</v>
      </c>
      <c r="E16">
        <v>7.9400000572204599</v>
      </c>
      <c r="F16">
        <v>0</v>
      </c>
      <c r="G16">
        <v>3.3099999427795401</v>
      </c>
      <c r="H16">
        <v>0.89999997615814198</v>
      </c>
      <c r="I16">
        <v>3.7400000095367401</v>
      </c>
      <c r="J16">
        <v>0</v>
      </c>
      <c r="K16">
        <v>46</v>
      </c>
      <c r="L16">
        <v>22</v>
      </c>
      <c r="M16">
        <v>212</v>
      </c>
      <c r="N16">
        <v>1160</v>
      </c>
      <c r="O16">
        <v>1895</v>
      </c>
    </row>
    <row r="17" spans="1:15" x14ac:dyDescent="0.35">
      <c r="A17">
        <v>1503960366</v>
      </c>
      <c r="B17" s="1">
        <v>42469</v>
      </c>
      <c r="C17">
        <v>12432</v>
      </c>
      <c r="D17">
        <v>8.1000003814697301</v>
      </c>
      <c r="E17">
        <v>8.1000003814697301</v>
      </c>
      <c r="F17">
        <v>0</v>
      </c>
      <c r="G17">
        <v>2.5899999141693102</v>
      </c>
      <c r="H17">
        <v>0.58999997377395597</v>
      </c>
      <c r="I17">
        <v>4.9200000762939498</v>
      </c>
      <c r="J17">
        <v>0</v>
      </c>
      <c r="K17">
        <v>32</v>
      </c>
      <c r="L17">
        <v>15</v>
      </c>
      <c r="M17">
        <v>248</v>
      </c>
      <c r="N17">
        <v>738</v>
      </c>
      <c r="O17">
        <v>1883</v>
      </c>
    </row>
    <row r="18" spans="1:15" x14ac:dyDescent="0.35">
      <c r="A18">
        <v>1503960366</v>
      </c>
      <c r="B18" s="1">
        <v>42470</v>
      </c>
      <c r="C18">
        <v>10057</v>
      </c>
      <c r="D18">
        <v>6.9800000190734899</v>
      </c>
      <c r="E18">
        <v>6.9800000190734899</v>
      </c>
      <c r="F18">
        <v>0</v>
      </c>
      <c r="G18">
        <v>4</v>
      </c>
      <c r="H18">
        <v>0.490000009536743</v>
      </c>
      <c r="I18">
        <v>2.4800000190734899</v>
      </c>
      <c r="J18">
        <v>0</v>
      </c>
      <c r="K18">
        <v>44</v>
      </c>
      <c r="L18">
        <v>13</v>
      </c>
      <c r="M18">
        <v>168</v>
      </c>
      <c r="N18">
        <v>737</v>
      </c>
      <c r="O18">
        <v>1755</v>
      </c>
    </row>
    <row r="19" spans="1:15" x14ac:dyDescent="0.35">
      <c r="A19">
        <v>1503960366</v>
      </c>
      <c r="B19" s="1">
        <v>42471</v>
      </c>
      <c r="C19">
        <v>10990</v>
      </c>
      <c r="D19">
        <v>7.2600002288818404</v>
      </c>
      <c r="E19">
        <v>7.2600002288818404</v>
      </c>
      <c r="F19">
        <v>0</v>
      </c>
      <c r="G19">
        <v>2.03999996185303</v>
      </c>
      <c r="H19">
        <v>0.56999999284744296</v>
      </c>
      <c r="I19">
        <v>4.6500000953674299</v>
      </c>
      <c r="J19">
        <v>0</v>
      </c>
      <c r="K19">
        <v>26</v>
      </c>
      <c r="L19">
        <v>14</v>
      </c>
      <c r="M19">
        <v>216</v>
      </c>
      <c r="N19">
        <v>855</v>
      </c>
      <c r="O19">
        <v>1811</v>
      </c>
    </row>
    <row r="20" spans="1:15" x14ac:dyDescent="0.35">
      <c r="A20">
        <v>1503960366</v>
      </c>
      <c r="B20" s="1">
        <v>42472</v>
      </c>
      <c r="C20">
        <v>224</v>
      </c>
      <c r="D20">
        <v>0.140000000596046</v>
      </c>
      <c r="E20">
        <v>0.140000000596046</v>
      </c>
      <c r="F20">
        <v>0</v>
      </c>
      <c r="G20">
        <v>0</v>
      </c>
      <c r="H20">
        <v>0</v>
      </c>
      <c r="I20">
        <v>0.129999995231628</v>
      </c>
      <c r="J20">
        <v>0</v>
      </c>
      <c r="K20">
        <v>0</v>
      </c>
      <c r="L20">
        <v>0</v>
      </c>
      <c r="M20">
        <v>9</v>
      </c>
      <c r="N20">
        <v>32</v>
      </c>
      <c r="O20">
        <v>50</v>
      </c>
    </row>
    <row r="21" spans="1:15" x14ac:dyDescent="0.35">
      <c r="A21">
        <v>1624580081</v>
      </c>
      <c r="B21" s="1">
        <v>42454</v>
      </c>
      <c r="C21">
        <v>1810</v>
      </c>
      <c r="D21">
        <v>1.1799999475479099</v>
      </c>
      <c r="E21">
        <v>1.1799999475479099</v>
      </c>
      <c r="F21">
        <v>0</v>
      </c>
      <c r="G21">
        <v>0</v>
      </c>
      <c r="H21">
        <v>0</v>
      </c>
      <c r="I21">
        <v>1.12999999523163</v>
      </c>
      <c r="J21">
        <v>9.9999997764825804E-3</v>
      </c>
      <c r="K21">
        <v>0</v>
      </c>
      <c r="L21">
        <v>0</v>
      </c>
      <c r="M21">
        <v>121</v>
      </c>
      <c r="N21">
        <v>1319</v>
      </c>
      <c r="O21">
        <v>1373</v>
      </c>
    </row>
    <row r="22" spans="1:15" x14ac:dyDescent="0.35">
      <c r="A22">
        <v>1624580081</v>
      </c>
      <c r="B22" s="1">
        <v>42455</v>
      </c>
      <c r="C22">
        <v>815</v>
      </c>
      <c r="D22">
        <v>0.52999997138977095</v>
      </c>
      <c r="E22">
        <v>0.52999997138977095</v>
      </c>
      <c r="F22">
        <v>0</v>
      </c>
      <c r="G22">
        <v>0</v>
      </c>
      <c r="H22">
        <v>0</v>
      </c>
      <c r="I22">
        <v>0.52999997138977095</v>
      </c>
      <c r="J22">
        <v>0</v>
      </c>
      <c r="K22">
        <v>0</v>
      </c>
      <c r="L22">
        <v>0</v>
      </c>
      <c r="M22">
        <v>47</v>
      </c>
      <c r="N22">
        <v>1393</v>
      </c>
      <c r="O22">
        <v>1264</v>
      </c>
    </row>
    <row r="23" spans="1:15" x14ac:dyDescent="0.35">
      <c r="A23">
        <v>1624580081</v>
      </c>
      <c r="B23" s="1">
        <v>42456</v>
      </c>
      <c r="C23">
        <v>1985</v>
      </c>
      <c r="D23">
        <v>1.28999996185303</v>
      </c>
      <c r="E23">
        <v>1.28999996185303</v>
      </c>
      <c r="F23">
        <v>0</v>
      </c>
      <c r="G23">
        <v>0</v>
      </c>
      <c r="H23">
        <v>0</v>
      </c>
      <c r="I23">
        <v>1.2799999713897701</v>
      </c>
      <c r="J23">
        <v>9.9999997764825804E-3</v>
      </c>
      <c r="K23">
        <v>0</v>
      </c>
      <c r="L23">
        <v>0</v>
      </c>
      <c r="M23">
        <v>112</v>
      </c>
      <c r="N23">
        <v>1328</v>
      </c>
      <c r="O23">
        <v>1350</v>
      </c>
    </row>
    <row r="24" spans="1:15" x14ac:dyDescent="0.35">
      <c r="A24">
        <v>1624580081</v>
      </c>
      <c r="B24" s="1">
        <v>42457</v>
      </c>
      <c r="C24">
        <v>1905</v>
      </c>
      <c r="D24">
        <v>1.2400000095367401</v>
      </c>
      <c r="E24">
        <v>1.2400000095367401</v>
      </c>
      <c r="F24">
        <v>0</v>
      </c>
      <c r="G24">
        <v>0</v>
      </c>
      <c r="H24">
        <v>0</v>
      </c>
      <c r="I24">
        <v>1.2400000095367401</v>
      </c>
      <c r="J24">
        <v>0</v>
      </c>
      <c r="K24">
        <v>0</v>
      </c>
      <c r="L24">
        <v>0</v>
      </c>
      <c r="M24">
        <v>95</v>
      </c>
      <c r="N24">
        <v>1345</v>
      </c>
      <c r="O24">
        <v>1342</v>
      </c>
    </row>
    <row r="25" spans="1:15" x14ac:dyDescent="0.35">
      <c r="A25">
        <v>1624580081</v>
      </c>
      <c r="B25" s="1">
        <v>42458</v>
      </c>
      <c r="C25">
        <v>1552</v>
      </c>
      <c r="D25">
        <v>1.0099999904632599</v>
      </c>
      <c r="E25">
        <v>1.0099999904632599</v>
      </c>
      <c r="F25">
        <v>0</v>
      </c>
      <c r="G25">
        <v>0</v>
      </c>
      <c r="H25">
        <v>0</v>
      </c>
      <c r="I25">
        <v>1</v>
      </c>
      <c r="J25">
        <v>0</v>
      </c>
      <c r="K25">
        <v>0</v>
      </c>
      <c r="L25">
        <v>0</v>
      </c>
      <c r="M25">
        <v>66</v>
      </c>
      <c r="N25">
        <v>1374</v>
      </c>
      <c r="O25">
        <v>1300</v>
      </c>
    </row>
    <row r="26" spans="1:15" x14ac:dyDescent="0.35">
      <c r="A26">
        <v>1624580081</v>
      </c>
      <c r="B26" s="1">
        <v>42459</v>
      </c>
      <c r="C26">
        <v>1675</v>
      </c>
      <c r="D26">
        <v>1.0900000333786</v>
      </c>
      <c r="E26">
        <v>1.0900000333786</v>
      </c>
      <c r="F26">
        <v>0</v>
      </c>
      <c r="G26">
        <v>0</v>
      </c>
      <c r="H26">
        <v>0</v>
      </c>
      <c r="I26">
        <v>1.0900000333786</v>
      </c>
      <c r="J26">
        <v>0</v>
      </c>
      <c r="K26">
        <v>0</v>
      </c>
      <c r="L26">
        <v>0</v>
      </c>
      <c r="M26">
        <v>84</v>
      </c>
      <c r="N26">
        <v>1356</v>
      </c>
      <c r="O26">
        <v>1313</v>
      </c>
    </row>
    <row r="27" spans="1:15" x14ac:dyDescent="0.35">
      <c r="A27">
        <v>1624580081</v>
      </c>
      <c r="B27" s="1">
        <v>42460</v>
      </c>
      <c r="C27">
        <v>4506</v>
      </c>
      <c r="D27">
        <v>2.9300000667571999</v>
      </c>
      <c r="E27">
        <v>2.9300000667571999</v>
      </c>
      <c r="F27">
        <v>0</v>
      </c>
      <c r="G27">
        <v>0.50999999046325695</v>
      </c>
      <c r="H27">
        <v>0.270000010728836</v>
      </c>
      <c r="I27">
        <v>2.1500000953674299</v>
      </c>
      <c r="J27">
        <v>9.9999997764825804E-3</v>
      </c>
      <c r="K27">
        <v>7</v>
      </c>
      <c r="L27">
        <v>4</v>
      </c>
      <c r="M27">
        <v>144</v>
      </c>
      <c r="N27">
        <v>1285</v>
      </c>
      <c r="O27">
        <v>1498</v>
      </c>
    </row>
    <row r="28" spans="1:15" x14ac:dyDescent="0.35">
      <c r="A28">
        <v>1624580081</v>
      </c>
      <c r="B28" s="1">
        <v>42461</v>
      </c>
      <c r="C28">
        <v>9218</v>
      </c>
      <c r="D28">
        <v>5.9899997711181596</v>
      </c>
      <c r="E28">
        <v>5.9899997711181596</v>
      </c>
      <c r="F28">
        <v>0</v>
      </c>
      <c r="G28">
        <v>0</v>
      </c>
      <c r="H28">
        <v>0</v>
      </c>
      <c r="I28">
        <v>5.9699997901916504</v>
      </c>
      <c r="J28">
        <v>9.9999997764825804E-3</v>
      </c>
      <c r="K28">
        <v>0</v>
      </c>
      <c r="L28">
        <v>0</v>
      </c>
      <c r="M28">
        <v>221</v>
      </c>
      <c r="N28">
        <v>1219</v>
      </c>
      <c r="O28">
        <v>1541</v>
      </c>
    </row>
    <row r="29" spans="1:15" x14ac:dyDescent="0.35">
      <c r="A29">
        <v>1624580081</v>
      </c>
      <c r="B29" s="1">
        <v>42462</v>
      </c>
      <c r="C29">
        <v>1556</v>
      </c>
      <c r="D29">
        <v>1.0099999904632599</v>
      </c>
      <c r="E29">
        <v>1.0099999904632599</v>
      </c>
      <c r="F29">
        <v>0</v>
      </c>
      <c r="G29">
        <v>0</v>
      </c>
      <c r="H29">
        <v>0</v>
      </c>
      <c r="I29">
        <v>1.0099999904632599</v>
      </c>
      <c r="J29">
        <v>9.9999997764825804E-3</v>
      </c>
      <c r="K29">
        <v>0</v>
      </c>
      <c r="L29">
        <v>0</v>
      </c>
      <c r="M29">
        <v>88</v>
      </c>
      <c r="N29">
        <v>1352</v>
      </c>
      <c r="O29">
        <v>1327</v>
      </c>
    </row>
    <row r="30" spans="1:15" x14ac:dyDescent="0.35">
      <c r="A30">
        <v>1624580081</v>
      </c>
      <c r="B30" s="1">
        <v>42463</v>
      </c>
      <c r="C30">
        <v>2910</v>
      </c>
      <c r="D30">
        <v>1.8899999856948899</v>
      </c>
      <c r="E30">
        <v>1.8899999856948899</v>
      </c>
      <c r="F30">
        <v>0</v>
      </c>
      <c r="G30">
        <v>0</v>
      </c>
      <c r="H30">
        <v>0</v>
      </c>
      <c r="I30">
        <v>1.87999999523163</v>
      </c>
      <c r="J30">
        <v>9.9999997764825804E-3</v>
      </c>
      <c r="K30">
        <v>0</v>
      </c>
      <c r="L30">
        <v>0</v>
      </c>
      <c r="M30">
        <v>157</v>
      </c>
      <c r="N30">
        <v>1283</v>
      </c>
      <c r="O30">
        <v>1452</v>
      </c>
    </row>
    <row r="31" spans="1:15" x14ac:dyDescent="0.35">
      <c r="A31">
        <v>1624580081</v>
      </c>
      <c r="B31" s="1">
        <v>42464</v>
      </c>
      <c r="C31">
        <v>18464</v>
      </c>
      <c r="D31">
        <v>12</v>
      </c>
      <c r="E31">
        <v>12</v>
      </c>
      <c r="F31">
        <v>0</v>
      </c>
      <c r="G31">
        <v>0</v>
      </c>
      <c r="H31">
        <v>0</v>
      </c>
      <c r="I31">
        <v>12</v>
      </c>
      <c r="J31">
        <v>0</v>
      </c>
      <c r="K31">
        <v>0</v>
      </c>
      <c r="L31">
        <v>0</v>
      </c>
      <c r="M31">
        <v>270</v>
      </c>
      <c r="N31">
        <v>1170</v>
      </c>
      <c r="O31">
        <v>1574</v>
      </c>
    </row>
    <row r="32" spans="1:15" x14ac:dyDescent="0.35">
      <c r="A32">
        <v>1624580081</v>
      </c>
      <c r="B32" s="1">
        <v>42465</v>
      </c>
      <c r="C32">
        <v>1335</v>
      </c>
      <c r="D32">
        <v>0.87000000476837203</v>
      </c>
      <c r="E32">
        <v>0.87000000476837203</v>
      </c>
      <c r="F32">
        <v>0</v>
      </c>
      <c r="G32">
        <v>0</v>
      </c>
      <c r="H32">
        <v>0</v>
      </c>
      <c r="I32">
        <v>0.87000000476837203</v>
      </c>
      <c r="J32">
        <v>0</v>
      </c>
      <c r="K32">
        <v>0</v>
      </c>
      <c r="L32">
        <v>0</v>
      </c>
      <c r="M32">
        <v>74</v>
      </c>
      <c r="N32">
        <v>1366</v>
      </c>
      <c r="O32">
        <v>1308</v>
      </c>
    </row>
    <row r="33" spans="1:15" x14ac:dyDescent="0.35">
      <c r="A33">
        <v>1624580081</v>
      </c>
      <c r="B33" s="1">
        <v>42466</v>
      </c>
      <c r="C33">
        <v>1004</v>
      </c>
      <c r="D33">
        <v>0.64999997615814198</v>
      </c>
      <c r="E33">
        <v>0.64999997615814198</v>
      </c>
      <c r="F33">
        <v>0</v>
      </c>
      <c r="G33">
        <v>0</v>
      </c>
      <c r="H33">
        <v>0</v>
      </c>
      <c r="I33">
        <v>0.64999997615814198</v>
      </c>
      <c r="J33">
        <v>0</v>
      </c>
      <c r="K33">
        <v>0</v>
      </c>
      <c r="L33">
        <v>0</v>
      </c>
      <c r="M33">
        <v>55</v>
      </c>
      <c r="N33">
        <v>1385</v>
      </c>
      <c r="O33">
        <v>1276</v>
      </c>
    </row>
    <row r="34" spans="1:15" x14ac:dyDescent="0.35">
      <c r="A34">
        <v>1624580081</v>
      </c>
      <c r="B34" s="1">
        <v>42467</v>
      </c>
      <c r="C34">
        <v>1111</v>
      </c>
      <c r="D34">
        <v>0.72000002861022905</v>
      </c>
      <c r="E34">
        <v>0.72000002861022905</v>
      </c>
      <c r="F34">
        <v>0</v>
      </c>
      <c r="G34">
        <v>0</v>
      </c>
      <c r="H34">
        <v>0</v>
      </c>
      <c r="I34">
        <v>0.72000002861022905</v>
      </c>
      <c r="J34">
        <v>0</v>
      </c>
      <c r="K34">
        <v>0</v>
      </c>
      <c r="L34">
        <v>0</v>
      </c>
      <c r="M34">
        <v>54</v>
      </c>
      <c r="N34">
        <v>1386</v>
      </c>
      <c r="O34">
        <v>1278</v>
      </c>
    </row>
    <row r="35" spans="1:15" x14ac:dyDescent="0.35">
      <c r="A35">
        <v>1624580081</v>
      </c>
      <c r="B35" s="1">
        <v>42468</v>
      </c>
      <c r="C35">
        <v>6344</v>
      </c>
      <c r="D35">
        <v>4.1199998855590803</v>
      </c>
      <c r="E35">
        <v>4.1199998855590803</v>
      </c>
      <c r="F35">
        <v>0</v>
      </c>
      <c r="G35">
        <v>0</v>
      </c>
      <c r="H35">
        <v>0</v>
      </c>
      <c r="I35">
        <v>4.0999999046325701</v>
      </c>
      <c r="J35">
        <v>0</v>
      </c>
      <c r="K35">
        <v>0</v>
      </c>
      <c r="L35">
        <v>0</v>
      </c>
      <c r="M35">
        <v>143</v>
      </c>
      <c r="N35">
        <v>1297</v>
      </c>
      <c r="O35">
        <v>1409</v>
      </c>
    </row>
    <row r="36" spans="1:15" x14ac:dyDescent="0.35">
      <c r="A36">
        <v>1624580081</v>
      </c>
      <c r="B36" s="1">
        <v>42469</v>
      </c>
      <c r="C36">
        <v>3572</v>
      </c>
      <c r="D36">
        <v>2.3199999332428001</v>
      </c>
      <c r="E36">
        <v>2.3199999332428001</v>
      </c>
      <c r="F36">
        <v>0</v>
      </c>
      <c r="G36">
        <v>0</v>
      </c>
      <c r="H36">
        <v>0</v>
      </c>
      <c r="I36">
        <v>2.28999996185303</v>
      </c>
      <c r="J36">
        <v>2.9999999329447701E-2</v>
      </c>
      <c r="K36">
        <v>0</v>
      </c>
      <c r="L36">
        <v>0</v>
      </c>
      <c r="M36">
        <v>122</v>
      </c>
      <c r="N36">
        <v>1318</v>
      </c>
      <c r="O36">
        <v>1370</v>
      </c>
    </row>
    <row r="37" spans="1:15" x14ac:dyDescent="0.35">
      <c r="A37">
        <v>1624580081</v>
      </c>
      <c r="B37" s="1">
        <v>42470</v>
      </c>
      <c r="C37">
        <v>3910</v>
      </c>
      <c r="D37">
        <v>2.53999996185303</v>
      </c>
      <c r="E37">
        <v>2.53999996185303</v>
      </c>
      <c r="F37">
        <v>0</v>
      </c>
      <c r="G37">
        <v>0.46999999880790699</v>
      </c>
      <c r="H37">
        <v>0.25</v>
      </c>
      <c r="I37">
        <v>1.8099999427795399</v>
      </c>
      <c r="J37">
        <v>9.9999997764825804E-3</v>
      </c>
      <c r="K37">
        <v>7</v>
      </c>
      <c r="L37">
        <v>7</v>
      </c>
      <c r="M37">
        <v>186</v>
      </c>
      <c r="N37">
        <v>1240</v>
      </c>
      <c r="O37">
        <v>1555</v>
      </c>
    </row>
    <row r="38" spans="1:15" x14ac:dyDescent="0.35">
      <c r="A38">
        <v>1624580081</v>
      </c>
      <c r="B38" s="1">
        <v>42471</v>
      </c>
      <c r="C38">
        <v>10000</v>
      </c>
      <c r="D38">
        <v>6.5</v>
      </c>
      <c r="E38">
        <v>6.5</v>
      </c>
      <c r="F38">
        <v>0</v>
      </c>
      <c r="G38">
        <v>0</v>
      </c>
      <c r="H38">
        <v>0</v>
      </c>
      <c r="I38">
        <v>6.5</v>
      </c>
      <c r="J38">
        <v>0</v>
      </c>
      <c r="K38">
        <v>0</v>
      </c>
      <c r="L38">
        <v>0</v>
      </c>
      <c r="M38">
        <v>172</v>
      </c>
      <c r="N38">
        <v>1268</v>
      </c>
      <c r="O38">
        <v>1469</v>
      </c>
    </row>
    <row r="39" spans="1:15" x14ac:dyDescent="0.35">
      <c r="A39">
        <v>1624580081</v>
      </c>
      <c r="B39" s="1">
        <v>42472</v>
      </c>
      <c r="C39">
        <v>6627</v>
      </c>
      <c r="D39">
        <v>4.3099999427795401</v>
      </c>
      <c r="E39">
        <v>4.3099999427795401</v>
      </c>
      <c r="F39">
        <v>0</v>
      </c>
      <c r="G39">
        <v>0</v>
      </c>
      <c r="H39">
        <v>0</v>
      </c>
      <c r="I39">
        <v>4.3099999427795401</v>
      </c>
      <c r="J39">
        <v>0</v>
      </c>
      <c r="K39">
        <v>0</v>
      </c>
      <c r="L39">
        <v>0</v>
      </c>
      <c r="M39">
        <v>89</v>
      </c>
      <c r="N39">
        <v>604</v>
      </c>
      <c r="O39">
        <v>706</v>
      </c>
    </row>
    <row r="40" spans="1:15" x14ac:dyDescent="0.35">
      <c r="A40">
        <v>1644430081</v>
      </c>
      <c r="B40" s="1">
        <v>42461</v>
      </c>
      <c r="C40">
        <v>4636</v>
      </c>
      <c r="D40">
        <v>3.4100000858306898</v>
      </c>
      <c r="E40">
        <v>3.4100000858306898</v>
      </c>
      <c r="F40">
        <v>0</v>
      </c>
      <c r="G40">
        <v>0</v>
      </c>
      <c r="H40">
        <v>0.77999997138977095</v>
      </c>
      <c r="I40">
        <v>2.5999999046325701</v>
      </c>
      <c r="J40">
        <v>2.9999999329447701E-2</v>
      </c>
      <c r="K40">
        <v>0</v>
      </c>
      <c r="L40">
        <v>16</v>
      </c>
      <c r="M40">
        <v>586</v>
      </c>
      <c r="N40">
        <v>838</v>
      </c>
      <c r="O40">
        <v>3323</v>
      </c>
    </row>
    <row r="41" spans="1:15" x14ac:dyDescent="0.35">
      <c r="A41">
        <v>1644430081</v>
      </c>
      <c r="B41" s="1">
        <v>42462</v>
      </c>
      <c r="C41">
        <v>20237</v>
      </c>
      <c r="D41">
        <v>14.710000038146999</v>
      </c>
      <c r="E41">
        <v>14.710000038146999</v>
      </c>
      <c r="F41">
        <v>0</v>
      </c>
      <c r="G41">
        <v>2.5699999332428001</v>
      </c>
      <c r="H41">
        <v>6.4000000953674299</v>
      </c>
      <c r="I41">
        <v>5.7300000190734899</v>
      </c>
      <c r="J41">
        <v>9.9999997764825804E-3</v>
      </c>
      <c r="K41">
        <v>34</v>
      </c>
      <c r="L41">
        <v>141</v>
      </c>
      <c r="M41">
        <v>347</v>
      </c>
      <c r="N41">
        <v>918</v>
      </c>
      <c r="O41">
        <v>4029</v>
      </c>
    </row>
    <row r="42" spans="1:15" x14ac:dyDescent="0.35">
      <c r="A42">
        <v>1644430081</v>
      </c>
      <c r="B42" s="1">
        <v>42463</v>
      </c>
      <c r="C42">
        <v>12912</v>
      </c>
      <c r="D42">
        <v>9.4099998474121094</v>
      </c>
      <c r="E42">
        <v>9.4099998474121094</v>
      </c>
      <c r="F42">
        <v>0</v>
      </c>
      <c r="G42">
        <v>4.8299999237060502</v>
      </c>
      <c r="H42">
        <v>0.769999980926514</v>
      </c>
      <c r="I42">
        <v>3.78999996185303</v>
      </c>
      <c r="J42">
        <v>2.9999999329447701E-2</v>
      </c>
      <c r="K42">
        <v>59</v>
      </c>
      <c r="L42">
        <v>16</v>
      </c>
      <c r="M42">
        <v>283</v>
      </c>
      <c r="N42">
        <v>1082</v>
      </c>
      <c r="O42">
        <v>3436</v>
      </c>
    </row>
    <row r="43" spans="1:15" x14ac:dyDescent="0.35">
      <c r="A43">
        <v>1644430081</v>
      </c>
      <c r="B43" s="1">
        <v>42464</v>
      </c>
      <c r="C43">
        <v>2819</v>
      </c>
      <c r="D43">
        <v>2.0499999523162802</v>
      </c>
      <c r="E43">
        <v>2.0499999523162802</v>
      </c>
      <c r="F43">
        <v>0</v>
      </c>
      <c r="G43">
        <v>0.31000000238418601</v>
      </c>
      <c r="H43">
        <v>0.17000000178813901</v>
      </c>
      <c r="I43">
        <v>1.5599999427795399</v>
      </c>
      <c r="J43">
        <v>9.9999997764825804E-3</v>
      </c>
      <c r="K43">
        <v>4</v>
      </c>
      <c r="L43">
        <v>4</v>
      </c>
      <c r="M43">
        <v>87</v>
      </c>
      <c r="N43">
        <v>1345</v>
      </c>
      <c r="O43">
        <v>2444</v>
      </c>
    </row>
    <row r="44" spans="1:15" x14ac:dyDescent="0.35">
      <c r="A44">
        <v>1644430081</v>
      </c>
      <c r="B44" s="1">
        <v>42465</v>
      </c>
      <c r="C44">
        <v>9921</v>
      </c>
      <c r="D44">
        <v>7.21000003814697</v>
      </c>
      <c r="E44">
        <v>7.21000003814697</v>
      </c>
      <c r="F44">
        <v>0</v>
      </c>
      <c r="G44">
        <v>0.34000000357627902</v>
      </c>
      <c r="H44">
        <v>1.5199999809265099</v>
      </c>
      <c r="I44">
        <v>5.3600001335143999</v>
      </c>
      <c r="J44">
        <v>0</v>
      </c>
      <c r="K44">
        <v>5</v>
      </c>
      <c r="L44">
        <v>35</v>
      </c>
      <c r="M44">
        <v>219</v>
      </c>
      <c r="N44">
        <v>1181</v>
      </c>
      <c r="O44">
        <v>3098</v>
      </c>
    </row>
    <row r="45" spans="1:15" x14ac:dyDescent="0.35">
      <c r="A45">
        <v>1644430081</v>
      </c>
      <c r="B45" s="1">
        <v>42466</v>
      </c>
      <c r="C45">
        <v>8046</v>
      </c>
      <c r="D45">
        <v>5.8499999046325701</v>
      </c>
      <c r="E45">
        <v>5.8499999046325701</v>
      </c>
      <c r="F45">
        <v>0</v>
      </c>
      <c r="G45">
        <v>1.28999996185303</v>
      </c>
      <c r="H45">
        <v>2.1199998855590798</v>
      </c>
      <c r="I45">
        <v>2.4500000476837198</v>
      </c>
      <c r="J45">
        <v>0</v>
      </c>
      <c r="K45">
        <v>18</v>
      </c>
      <c r="L45">
        <v>41</v>
      </c>
      <c r="M45">
        <v>137</v>
      </c>
      <c r="N45">
        <v>1244</v>
      </c>
      <c r="O45">
        <v>2925</v>
      </c>
    </row>
    <row r="46" spans="1:15" x14ac:dyDescent="0.35">
      <c r="A46">
        <v>1644430081</v>
      </c>
      <c r="B46" s="1">
        <v>42467</v>
      </c>
      <c r="C46">
        <v>11166</v>
      </c>
      <c r="D46">
        <v>8.1199998855590803</v>
      </c>
      <c r="E46">
        <v>8.1199998855590803</v>
      </c>
      <c r="F46">
        <v>0</v>
      </c>
      <c r="G46">
        <v>0.20999999344348899</v>
      </c>
      <c r="H46">
        <v>2.4100000858306898</v>
      </c>
      <c r="I46">
        <v>5.5</v>
      </c>
      <c r="J46">
        <v>0</v>
      </c>
      <c r="K46">
        <v>3</v>
      </c>
      <c r="L46">
        <v>58</v>
      </c>
      <c r="M46">
        <v>230</v>
      </c>
      <c r="N46">
        <v>1149</v>
      </c>
      <c r="O46">
        <v>3202</v>
      </c>
    </row>
    <row r="47" spans="1:15" x14ac:dyDescent="0.35">
      <c r="A47">
        <v>1644430081</v>
      </c>
      <c r="B47" s="1">
        <v>42468</v>
      </c>
      <c r="C47">
        <v>7842</v>
      </c>
      <c r="D47">
        <v>5.6999998092651403</v>
      </c>
      <c r="E47">
        <v>5.6999998092651403</v>
      </c>
      <c r="F47">
        <v>0</v>
      </c>
      <c r="G47">
        <v>0.479999989271164</v>
      </c>
      <c r="H47">
        <v>2.4100000858306898</v>
      </c>
      <c r="I47">
        <v>2.8099999427795401</v>
      </c>
      <c r="J47">
        <v>0</v>
      </c>
      <c r="K47">
        <v>7</v>
      </c>
      <c r="L47">
        <v>43</v>
      </c>
      <c r="M47">
        <v>161</v>
      </c>
      <c r="N47">
        <v>1229</v>
      </c>
      <c r="O47">
        <v>2928</v>
      </c>
    </row>
    <row r="48" spans="1:15" x14ac:dyDescent="0.35">
      <c r="A48">
        <v>1644430081</v>
      </c>
      <c r="B48" s="1">
        <v>42469</v>
      </c>
      <c r="C48">
        <v>13840</v>
      </c>
      <c r="D48">
        <v>10.060000419616699</v>
      </c>
      <c r="E48">
        <v>10.060000419616699</v>
      </c>
      <c r="F48">
        <v>0</v>
      </c>
      <c r="G48">
        <v>1.3099999427795399</v>
      </c>
      <c r="H48">
        <v>3.7200000286102299</v>
      </c>
      <c r="I48">
        <v>5.0300002098083496</v>
      </c>
      <c r="J48">
        <v>0</v>
      </c>
      <c r="K48">
        <v>18</v>
      </c>
      <c r="L48">
        <v>81</v>
      </c>
      <c r="M48">
        <v>192</v>
      </c>
      <c r="N48">
        <v>1149</v>
      </c>
      <c r="O48">
        <v>3290</v>
      </c>
    </row>
    <row r="49" spans="1:15" x14ac:dyDescent="0.35">
      <c r="A49">
        <v>1644430081</v>
      </c>
      <c r="B49" s="1">
        <v>42470</v>
      </c>
      <c r="C49">
        <v>1329</v>
      </c>
      <c r="D49">
        <v>0.97000002861022905</v>
      </c>
      <c r="E49">
        <v>0.97000002861022905</v>
      </c>
      <c r="F49">
        <v>0</v>
      </c>
      <c r="G49">
        <v>0</v>
      </c>
      <c r="H49">
        <v>0</v>
      </c>
      <c r="I49">
        <v>0.97000002861022905</v>
      </c>
      <c r="J49">
        <v>0</v>
      </c>
      <c r="K49">
        <v>0</v>
      </c>
      <c r="L49">
        <v>0</v>
      </c>
      <c r="M49">
        <v>35</v>
      </c>
      <c r="N49">
        <v>207</v>
      </c>
      <c r="O49">
        <v>489</v>
      </c>
    </row>
    <row r="50" spans="1:15" x14ac:dyDescent="0.35">
      <c r="A50">
        <v>1844505072</v>
      </c>
      <c r="B50" s="1">
        <v>42461</v>
      </c>
      <c r="C50">
        <v>6847</v>
      </c>
      <c r="D50">
        <v>4.5300002098083496</v>
      </c>
      <c r="E50">
        <v>4.5300002098083496</v>
      </c>
      <c r="F50">
        <v>0</v>
      </c>
      <c r="G50">
        <v>0.61000001430511497</v>
      </c>
      <c r="H50">
        <v>0.37000000476837203</v>
      </c>
      <c r="I50">
        <v>3.5499999523162802</v>
      </c>
      <c r="J50">
        <v>0</v>
      </c>
      <c r="K50">
        <v>9</v>
      </c>
      <c r="L50">
        <v>9</v>
      </c>
      <c r="M50">
        <v>251</v>
      </c>
      <c r="N50">
        <v>1171</v>
      </c>
      <c r="O50">
        <v>1969</v>
      </c>
    </row>
    <row r="51" spans="1:15" x14ac:dyDescent="0.35">
      <c r="A51">
        <v>1844505072</v>
      </c>
      <c r="B51" s="1">
        <v>42462</v>
      </c>
      <c r="C51">
        <v>5367</v>
      </c>
      <c r="D51">
        <v>3.5499999523162802</v>
      </c>
      <c r="E51">
        <v>3.5499999523162802</v>
      </c>
      <c r="F51">
        <v>0</v>
      </c>
      <c r="G51">
        <v>0</v>
      </c>
      <c r="H51">
        <v>0</v>
      </c>
      <c r="I51">
        <v>3.5499999523162802</v>
      </c>
      <c r="J51">
        <v>0</v>
      </c>
      <c r="K51">
        <v>0</v>
      </c>
      <c r="L51">
        <v>0</v>
      </c>
      <c r="M51">
        <v>263</v>
      </c>
      <c r="N51">
        <v>1177</v>
      </c>
      <c r="O51">
        <v>1889</v>
      </c>
    </row>
    <row r="52" spans="1:15" x14ac:dyDescent="0.35">
      <c r="A52">
        <v>1844505072</v>
      </c>
      <c r="B52" s="1">
        <v>42463</v>
      </c>
      <c r="C52">
        <v>2841</v>
      </c>
      <c r="D52">
        <v>1.87999999523163</v>
      </c>
      <c r="E52">
        <v>1.87999999523163</v>
      </c>
      <c r="F52">
        <v>0</v>
      </c>
      <c r="G52">
        <v>0</v>
      </c>
      <c r="H52">
        <v>0</v>
      </c>
      <c r="I52">
        <v>1.87999999523163</v>
      </c>
      <c r="J52">
        <v>0</v>
      </c>
      <c r="K52">
        <v>0</v>
      </c>
      <c r="L52">
        <v>0</v>
      </c>
      <c r="M52">
        <v>136</v>
      </c>
      <c r="N52">
        <v>1114</v>
      </c>
      <c r="O52">
        <v>1636</v>
      </c>
    </row>
    <row r="53" spans="1:15" x14ac:dyDescent="0.35">
      <c r="A53">
        <v>1844505072</v>
      </c>
      <c r="B53" s="1">
        <v>42464</v>
      </c>
      <c r="C53">
        <v>0</v>
      </c>
      <c r="D53">
        <v>0</v>
      </c>
      <c r="E53">
        <v>0</v>
      </c>
      <c r="F53">
        <v>0</v>
      </c>
      <c r="G53">
        <v>0</v>
      </c>
      <c r="H53">
        <v>0</v>
      </c>
      <c r="I53">
        <v>0</v>
      </c>
      <c r="J53">
        <v>0</v>
      </c>
      <c r="K53">
        <v>0</v>
      </c>
      <c r="L53">
        <v>0</v>
      </c>
      <c r="M53">
        <v>0</v>
      </c>
      <c r="N53">
        <v>669</v>
      </c>
      <c r="O53">
        <v>1347</v>
      </c>
    </row>
    <row r="54" spans="1:15" x14ac:dyDescent="0.35">
      <c r="A54">
        <v>1844505072</v>
      </c>
      <c r="B54" s="1">
        <v>42465</v>
      </c>
      <c r="C54">
        <v>0</v>
      </c>
      <c r="D54">
        <v>0</v>
      </c>
      <c r="E54">
        <v>0</v>
      </c>
      <c r="F54">
        <v>0</v>
      </c>
      <c r="G54">
        <v>0</v>
      </c>
      <c r="H54">
        <v>0</v>
      </c>
      <c r="I54">
        <v>0</v>
      </c>
      <c r="J54">
        <v>0</v>
      </c>
      <c r="K54">
        <v>0</v>
      </c>
      <c r="L54">
        <v>0</v>
      </c>
      <c r="M54">
        <v>0</v>
      </c>
      <c r="N54">
        <v>1440</v>
      </c>
      <c r="O54">
        <v>1347</v>
      </c>
    </row>
    <row r="55" spans="1:15" x14ac:dyDescent="0.35">
      <c r="A55">
        <v>1844505072</v>
      </c>
      <c r="B55" s="1">
        <v>42466</v>
      </c>
      <c r="C55">
        <v>7</v>
      </c>
      <c r="D55">
        <v>0</v>
      </c>
      <c r="E55">
        <v>0</v>
      </c>
      <c r="F55">
        <v>0</v>
      </c>
      <c r="G55">
        <v>0</v>
      </c>
      <c r="H55">
        <v>0</v>
      </c>
      <c r="I55">
        <v>0</v>
      </c>
      <c r="J55">
        <v>0</v>
      </c>
      <c r="K55">
        <v>0</v>
      </c>
      <c r="L55">
        <v>0</v>
      </c>
      <c r="M55">
        <v>1</v>
      </c>
      <c r="N55">
        <v>1439</v>
      </c>
      <c r="O55">
        <v>1349</v>
      </c>
    </row>
    <row r="56" spans="1:15" x14ac:dyDescent="0.35">
      <c r="A56">
        <v>1844505072</v>
      </c>
      <c r="B56" s="1">
        <v>42467</v>
      </c>
      <c r="C56">
        <v>6344</v>
      </c>
      <c r="D56">
        <v>4.1900000572204599</v>
      </c>
      <c r="E56">
        <v>4.1900000572204599</v>
      </c>
      <c r="F56">
        <v>0</v>
      </c>
      <c r="G56">
        <v>0</v>
      </c>
      <c r="H56">
        <v>0</v>
      </c>
      <c r="I56">
        <v>4.1900000572204599</v>
      </c>
      <c r="J56">
        <v>0</v>
      </c>
      <c r="K56">
        <v>0</v>
      </c>
      <c r="L56">
        <v>0</v>
      </c>
      <c r="M56">
        <v>290</v>
      </c>
      <c r="N56">
        <v>1150</v>
      </c>
      <c r="O56">
        <v>1965</v>
      </c>
    </row>
    <row r="57" spans="1:15" x14ac:dyDescent="0.35">
      <c r="A57">
        <v>1844505072</v>
      </c>
      <c r="B57" s="1">
        <v>42468</v>
      </c>
      <c r="C57">
        <v>5316</v>
      </c>
      <c r="D57">
        <v>3.5099999904632599</v>
      </c>
      <c r="E57">
        <v>3.5099999904632599</v>
      </c>
      <c r="F57">
        <v>0</v>
      </c>
      <c r="G57">
        <v>0</v>
      </c>
      <c r="H57">
        <v>0</v>
      </c>
      <c r="I57">
        <v>3.5099999904632599</v>
      </c>
      <c r="J57">
        <v>0</v>
      </c>
      <c r="K57">
        <v>0</v>
      </c>
      <c r="L57">
        <v>0</v>
      </c>
      <c r="M57">
        <v>221</v>
      </c>
      <c r="N57">
        <v>1219</v>
      </c>
      <c r="O57">
        <v>1824</v>
      </c>
    </row>
    <row r="58" spans="1:15" x14ac:dyDescent="0.35">
      <c r="A58">
        <v>1844505072</v>
      </c>
      <c r="B58" s="1">
        <v>42469</v>
      </c>
      <c r="C58">
        <v>4979</v>
      </c>
      <c r="D58">
        <v>3.28999996185303</v>
      </c>
      <c r="E58">
        <v>3.28999996185303</v>
      </c>
      <c r="F58">
        <v>0</v>
      </c>
      <c r="G58">
        <v>0</v>
      </c>
      <c r="H58">
        <v>0</v>
      </c>
      <c r="I58">
        <v>3.28999996185303</v>
      </c>
      <c r="J58">
        <v>0</v>
      </c>
      <c r="K58">
        <v>0</v>
      </c>
      <c r="L58">
        <v>0</v>
      </c>
      <c r="M58">
        <v>184</v>
      </c>
      <c r="N58">
        <v>620</v>
      </c>
      <c r="O58">
        <v>1807</v>
      </c>
    </row>
    <row r="59" spans="1:15" x14ac:dyDescent="0.35">
      <c r="A59">
        <v>1844505072</v>
      </c>
      <c r="B59" s="1">
        <v>42470</v>
      </c>
      <c r="C59">
        <v>6556</v>
      </c>
      <c r="D59">
        <v>4.3400001525878897</v>
      </c>
      <c r="E59">
        <v>4.3400001525878897</v>
      </c>
      <c r="F59">
        <v>0</v>
      </c>
      <c r="G59">
        <v>0</v>
      </c>
      <c r="H59">
        <v>0</v>
      </c>
      <c r="I59">
        <v>4.3299999237060502</v>
      </c>
      <c r="J59">
        <v>0</v>
      </c>
      <c r="K59">
        <v>0</v>
      </c>
      <c r="L59">
        <v>0</v>
      </c>
      <c r="M59">
        <v>305</v>
      </c>
      <c r="N59">
        <v>810</v>
      </c>
      <c r="O59">
        <v>1971</v>
      </c>
    </row>
    <row r="60" spans="1:15" x14ac:dyDescent="0.35">
      <c r="A60">
        <v>1844505072</v>
      </c>
      <c r="B60" s="1">
        <v>42471</v>
      </c>
      <c r="C60">
        <v>5430</v>
      </c>
      <c r="D60">
        <v>3.5899999141693102</v>
      </c>
      <c r="E60">
        <v>3.5899999141693102</v>
      </c>
      <c r="F60">
        <v>0</v>
      </c>
      <c r="G60">
        <v>0</v>
      </c>
      <c r="H60">
        <v>0</v>
      </c>
      <c r="I60">
        <v>3.5899999141693102</v>
      </c>
      <c r="J60">
        <v>0</v>
      </c>
      <c r="K60">
        <v>0</v>
      </c>
      <c r="L60">
        <v>0</v>
      </c>
      <c r="M60">
        <v>251</v>
      </c>
      <c r="N60">
        <v>1189</v>
      </c>
      <c r="O60">
        <v>1888</v>
      </c>
    </row>
    <row r="61" spans="1:15" x14ac:dyDescent="0.35">
      <c r="A61">
        <v>1844505072</v>
      </c>
      <c r="B61" s="1">
        <v>42472</v>
      </c>
      <c r="C61">
        <v>0</v>
      </c>
      <c r="D61">
        <v>0</v>
      </c>
      <c r="E61">
        <v>0</v>
      </c>
      <c r="F61">
        <v>0</v>
      </c>
      <c r="G61">
        <v>0</v>
      </c>
      <c r="H61">
        <v>0</v>
      </c>
      <c r="I61">
        <v>0</v>
      </c>
      <c r="J61">
        <v>0</v>
      </c>
      <c r="K61">
        <v>0</v>
      </c>
      <c r="L61">
        <v>0</v>
      </c>
      <c r="M61">
        <v>0</v>
      </c>
      <c r="N61">
        <v>426</v>
      </c>
      <c r="O61">
        <v>399</v>
      </c>
    </row>
    <row r="62" spans="1:15" x14ac:dyDescent="0.35">
      <c r="A62">
        <v>1927972279</v>
      </c>
      <c r="B62" s="1">
        <v>42461</v>
      </c>
      <c r="C62">
        <v>4317</v>
      </c>
      <c r="D62">
        <v>2.9900000095367401</v>
      </c>
      <c r="E62">
        <v>2.9900000095367401</v>
      </c>
      <c r="F62">
        <v>0</v>
      </c>
      <c r="G62">
        <v>0</v>
      </c>
      <c r="H62">
        <v>0.37000000476837203</v>
      </c>
      <c r="I62">
        <v>2.6199998855590798</v>
      </c>
      <c r="J62">
        <v>0</v>
      </c>
      <c r="K62">
        <v>0</v>
      </c>
      <c r="L62">
        <v>11</v>
      </c>
      <c r="M62">
        <v>192</v>
      </c>
      <c r="N62">
        <v>854</v>
      </c>
      <c r="O62">
        <v>2590</v>
      </c>
    </row>
    <row r="63" spans="1:15" x14ac:dyDescent="0.35">
      <c r="A63">
        <v>1927972279</v>
      </c>
      <c r="B63" s="1">
        <v>42462</v>
      </c>
      <c r="C63">
        <v>5662</v>
      </c>
      <c r="D63">
        <v>3.9200000762939502</v>
      </c>
      <c r="E63">
        <v>3.9200000762939502</v>
      </c>
      <c r="F63">
        <v>0</v>
      </c>
      <c r="G63">
        <v>0</v>
      </c>
      <c r="H63">
        <v>0</v>
      </c>
      <c r="I63">
        <v>3.9200000762939502</v>
      </c>
      <c r="J63">
        <v>0</v>
      </c>
      <c r="K63">
        <v>0</v>
      </c>
      <c r="L63">
        <v>0</v>
      </c>
      <c r="M63">
        <v>267</v>
      </c>
      <c r="N63">
        <v>858</v>
      </c>
      <c r="O63">
        <v>2783</v>
      </c>
    </row>
    <row r="64" spans="1:15" x14ac:dyDescent="0.35">
      <c r="A64">
        <v>1927972279</v>
      </c>
      <c r="B64" s="1">
        <v>42463</v>
      </c>
      <c r="C64">
        <v>3198</v>
      </c>
      <c r="D64">
        <v>2.21000003814697</v>
      </c>
      <c r="E64">
        <v>2.21000003814697</v>
      </c>
      <c r="F64">
        <v>0</v>
      </c>
      <c r="G64">
        <v>0</v>
      </c>
      <c r="H64">
        <v>0</v>
      </c>
      <c r="I64">
        <v>2.21000003814697</v>
      </c>
      <c r="J64">
        <v>0</v>
      </c>
      <c r="K64">
        <v>0</v>
      </c>
      <c r="L64">
        <v>0</v>
      </c>
      <c r="M64">
        <v>146</v>
      </c>
      <c r="N64">
        <v>1183</v>
      </c>
      <c r="O64">
        <v>2449</v>
      </c>
    </row>
    <row r="65" spans="1:15" x14ac:dyDescent="0.35">
      <c r="A65">
        <v>1927972279</v>
      </c>
      <c r="B65" s="1">
        <v>42464</v>
      </c>
      <c r="C65">
        <v>2352</v>
      </c>
      <c r="D65">
        <v>1.62999999523163</v>
      </c>
      <c r="E65">
        <v>1.62999999523163</v>
      </c>
      <c r="F65">
        <v>0</v>
      </c>
      <c r="G65">
        <v>0</v>
      </c>
      <c r="H65">
        <v>0</v>
      </c>
      <c r="I65">
        <v>1.62999999523163</v>
      </c>
      <c r="J65">
        <v>0</v>
      </c>
      <c r="K65">
        <v>0</v>
      </c>
      <c r="L65">
        <v>0</v>
      </c>
      <c r="M65">
        <v>128</v>
      </c>
      <c r="N65">
        <v>829</v>
      </c>
      <c r="O65">
        <v>2380</v>
      </c>
    </row>
    <row r="66" spans="1:15" x14ac:dyDescent="0.35">
      <c r="A66">
        <v>1927972279</v>
      </c>
      <c r="B66" s="1">
        <v>42465</v>
      </c>
      <c r="C66">
        <v>2234</v>
      </c>
      <c r="D66">
        <v>1.54999995231628</v>
      </c>
      <c r="E66">
        <v>1.54999995231628</v>
      </c>
      <c r="F66">
        <v>0</v>
      </c>
      <c r="G66">
        <v>0</v>
      </c>
      <c r="H66">
        <v>0</v>
      </c>
      <c r="I66">
        <v>1.54999995231628</v>
      </c>
      <c r="J66">
        <v>0</v>
      </c>
      <c r="K66">
        <v>0</v>
      </c>
      <c r="L66">
        <v>0</v>
      </c>
      <c r="M66">
        <v>108</v>
      </c>
      <c r="N66">
        <v>912</v>
      </c>
      <c r="O66">
        <v>2344</v>
      </c>
    </row>
    <row r="67" spans="1:15" x14ac:dyDescent="0.35">
      <c r="A67">
        <v>1927972279</v>
      </c>
      <c r="B67" s="1">
        <v>42466</v>
      </c>
      <c r="C67">
        <v>1259</v>
      </c>
      <c r="D67">
        <v>0.87000000476837203</v>
      </c>
      <c r="E67">
        <v>0.87000000476837203</v>
      </c>
      <c r="F67">
        <v>0</v>
      </c>
      <c r="G67">
        <v>0</v>
      </c>
      <c r="H67">
        <v>0</v>
      </c>
      <c r="I67">
        <v>0.87000000476837203</v>
      </c>
      <c r="J67">
        <v>0</v>
      </c>
      <c r="K67">
        <v>0</v>
      </c>
      <c r="L67">
        <v>0</v>
      </c>
      <c r="M67">
        <v>73</v>
      </c>
      <c r="N67">
        <v>938</v>
      </c>
      <c r="O67">
        <v>2202</v>
      </c>
    </row>
    <row r="68" spans="1:15" x14ac:dyDescent="0.35">
      <c r="A68">
        <v>1927972279</v>
      </c>
      <c r="B68" s="1">
        <v>42467</v>
      </c>
      <c r="C68">
        <v>768</v>
      </c>
      <c r="D68">
        <v>0.52999997138977095</v>
      </c>
      <c r="E68">
        <v>0.52999997138977095</v>
      </c>
      <c r="F68">
        <v>0</v>
      </c>
      <c r="G68">
        <v>0</v>
      </c>
      <c r="H68">
        <v>0</v>
      </c>
      <c r="I68">
        <v>0.52999997138977095</v>
      </c>
      <c r="J68">
        <v>0</v>
      </c>
      <c r="K68">
        <v>0</v>
      </c>
      <c r="L68">
        <v>0</v>
      </c>
      <c r="M68">
        <v>43</v>
      </c>
      <c r="N68">
        <v>1397</v>
      </c>
      <c r="O68">
        <v>2130</v>
      </c>
    </row>
    <row r="69" spans="1:15" x14ac:dyDescent="0.35">
      <c r="A69">
        <v>1927972279</v>
      </c>
      <c r="B69" s="1">
        <v>42468</v>
      </c>
      <c r="C69">
        <v>519</v>
      </c>
      <c r="D69">
        <v>0.36000001430511502</v>
      </c>
      <c r="E69">
        <v>0.36000001430511502</v>
      </c>
      <c r="F69">
        <v>0</v>
      </c>
      <c r="G69">
        <v>0</v>
      </c>
      <c r="H69">
        <v>0</v>
      </c>
      <c r="I69">
        <v>0.36000001430511502</v>
      </c>
      <c r="J69">
        <v>0</v>
      </c>
      <c r="K69">
        <v>0</v>
      </c>
      <c r="L69">
        <v>0</v>
      </c>
      <c r="M69">
        <v>34</v>
      </c>
      <c r="N69">
        <v>1406</v>
      </c>
      <c r="O69">
        <v>2088</v>
      </c>
    </row>
    <row r="70" spans="1:15" x14ac:dyDescent="0.35">
      <c r="A70">
        <v>1927972279</v>
      </c>
      <c r="B70" s="1">
        <v>42469</v>
      </c>
      <c r="C70">
        <v>2523</v>
      </c>
      <c r="D70">
        <v>1.75</v>
      </c>
      <c r="E70">
        <v>1.75</v>
      </c>
      <c r="F70">
        <v>0</v>
      </c>
      <c r="G70">
        <v>0</v>
      </c>
      <c r="H70">
        <v>0.37000000476837203</v>
      </c>
      <c r="I70">
        <v>1.37999999523163</v>
      </c>
      <c r="J70">
        <v>0</v>
      </c>
      <c r="K70">
        <v>0</v>
      </c>
      <c r="L70">
        <v>9</v>
      </c>
      <c r="M70">
        <v>134</v>
      </c>
      <c r="N70">
        <v>1250</v>
      </c>
      <c r="O70">
        <v>2443</v>
      </c>
    </row>
    <row r="71" spans="1:15" x14ac:dyDescent="0.35">
      <c r="A71">
        <v>1927972279</v>
      </c>
      <c r="B71" s="1">
        <v>42470</v>
      </c>
      <c r="C71">
        <v>2105</v>
      </c>
      <c r="D71">
        <v>1.46000003814697</v>
      </c>
      <c r="E71">
        <v>1.46000003814697</v>
      </c>
      <c r="F71">
        <v>0</v>
      </c>
      <c r="G71">
        <v>0</v>
      </c>
      <c r="H71">
        <v>0</v>
      </c>
      <c r="I71">
        <v>1.46000003814697</v>
      </c>
      <c r="J71">
        <v>0</v>
      </c>
      <c r="K71">
        <v>0</v>
      </c>
      <c r="L71">
        <v>0</v>
      </c>
      <c r="M71">
        <v>139</v>
      </c>
      <c r="N71">
        <v>805</v>
      </c>
      <c r="O71">
        <v>2442</v>
      </c>
    </row>
    <row r="72" spans="1:15" x14ac:dyDescent="0.35">
      <c r="A72">
        <v>1927972279</v>
      </c>
      <c r="B72" s="1">
        <v>42471</v>
      </c>
      <c r="C72">
        <v>1209</v>
      </c>
      <c r="D72">
        <v>0.83999997377395597</v>
      </c>
      <c r="E72">
        <v>0.83999997377395597</v>
      </c>
      <c r="F72">
        <v>0</v>
      </c>
      <c r="G72">
        <v>0</v>
      </c>
      <c r="H72">
        <v>0</v>
      </c>
      <c r="I72">
        <v>0.83999997377395597</v>
      </c>
      <c r="J72">
        <v>0</v>
      </c>
      <c r="K72">
        <v>0</v>
      </c>
      <c r="L72">
        <v>0</v>
      </c>
      <c r="M72">
        <v>73</v>
      </c>
      <c r="N72">
        <v>842</v>
      </c>
      <c r="O72">
        <v>2255</v>
      </c>
    </row>
    <row r="73" spans="1:15" x14ac:dyDescent="0.35">
      <c r="A73">
        <v>1927972279</v>
      </c>
      <c r="B73" s="1">
        <v>42472</v>
      </c>
      <c r="C73">
        <v>24</v>
      </c>
      <c r="D73">
        <v>1.9999999552965199E-2</v>
      </c>
      <c r="E73">
        <v>1.9999999552965199E-2</v>
      </c>
      <c r="F73">
        <v>0</v>
      </c>
      <c r="G73">
        <v>0</v>
      </c>
      <c r="H73">
        <v>0</v>
      </c>
      <c r="I73">
        <v>1.9999999552965199E-2</v>
      </c>
      <c r="J73">
        <v>0</v>
      </c>
      <c r="K73">
        <v>0</v>
      </c>
      <c r="L73">
        <v>0</v>
      </c>
      <c r="M73">
        <v>3</v>
      </c>
      <c r="N73">
        <v>161</v>
      </c>
      <c r="O73">
        <v>942</v>
      </c>
    </row>
    <row r="74" spans="1:15" x14ac:dyDescent="0.35">
      <c r="A74">
        <v>2022484408</v>
      </c>
      <c r="B74" s="1">
        <v>42461</v>
      </c>
      <c r="C74">
        <v>13603</v>
      </c>
      <c r="D74">
        <v>9.6000003814697301</v>
      </c>
      <c r="E74">
        <v>9.6000003814697301</v>
      </c>
      <c r="F74">
        <v>0</v>
      </c>
      <c r="G74">
        <v>5.46000003814697</v>
      </c>
      <c r="H74">
        <v>0.62999999523162797</v>
      </c>
      <c r="I74">
        <v>3.5099999904632599</v>
      </c>
      <c r="J74">
        <v>0</v>
      </c>
      <c r="K74">
        <v>72</v>
      </c>
      <c r="L74">
        <v>16</v>
      </c>
      <c r="M74">
        <v>213</v>
      </c>
      <c r="N74">
        <v>1139</v>
      </c>
      <c r="O74">
        <v>2645</v>
      </c>
    </row>
    <row r="75" spans="1:15" x14ac:dyDescent="0.35">
      <c r="A75">
        <v>2022484408</v>
      </c>
      <c r="B75" s="1">
        <v>42462</v>
      </c>
      <c r="C75">
        <v>5477</v>
      </c>
      <c r="D75">
        <v>3.8399999141693102</v>
      </c>
      <c r="E75">
        <v>3.8399999141693102</v>
      </c>
      <c r="F75">
        <v>0</v>
      </c>
      <c r="G75">
        <v>0</v>
      </c>
      <c r="H75">
        <v>0</v>
      </c>
      <c r="I75">
        <v>3.8399999141693102</v>
      </c>
      <c r="J75">
        <v>0</v>
      </c>
      <c r="K75">
        <v>0</v>
      </c>
      <c r="L75">
        <v>0</v>
      </c>
      <c r="M75">
        <v>237</v>
      </c>
      <c r="N75">
        <v>1203</v>
      </c>
      <c r="O75">
        <v>2040</v>
      </c>
    </row>
    <row r="76" spans="1:15" x14ac:dyDescent="0.35">
      <c r="A76">
        <v>2022484408</v>
      </c>
      <c r="B76" s="1">
        <v>42463</v>
      </c>
      <c r="C76">
        <v>11144</v>
      </c>
      <c r="D76">
        <v>7.8200001716613796</v>
      </c>
      <c r="E76">
        <v>7.8200001716613796</v>
      </c>
      <c r="F76">
        <v>0</v>
      </c>
      <c r="G76">
        <v>1.78999996185303</v>
      </c>
      <c r="H76">
        <v>0.88999998569488503</v>
      </c>
      <c r="I76">
        <v>5.1399998664856001</v>
      </c>
      <c r="J76">
        <v>0</v>
      </c>
      <c r="K76">
        <v>25</v>
      </c>
      <c r="L76">
        <v>22</v>
      </c>
      <c r="M76">
        <v>279</v>
      </c>
      <c r="N76">
        <v>1114</v>
      </c>
      <c r="O76">
        <v>2395</v>
      </c>
    </row>
    <row r="77" spans="1:15" x14ac:dyDescent="0.35">
      <c r="A77">
        <v>2022484408</v>
      </c>
      <c r="B77" s="1">
        <v>42464</v>
      </c>
      <c r="C77">
        <v>15313</v>
      </c>
      <c r="D77">
        <v>11</v>
      </c>
      <c r="E77">
        <v>11</v>
      </c>
      <c r="F77">
        <v>0</v>
      </c>
      <c r="G77">
        <v>5.0199999809265101</v>
      </c>
      <c r="H77">
        <v>1.28999996185303</v>
      </c>
      <c r="I77">
        <v>4.6900000572204599</v>
      </c>
      <c r="J77">
        <v>0</v>
      </c>
      <c r="K77">
        <v>62</v>
      </c>
      <c r="L77">
        <v>19</v>
      </c>
      <c r="M77">
        <v>233</v>
      </c>
      <c r="N77">
        <v>1126</v>
      </c>
      <c r="O77">
        <v>2581</v>
      </c>
    </row>
    <row r="78" spans="1:15" x14ac:dyDescent="0.35">
      <c r="A78">
        <v>2022484408</v>
      </c>
      <c r="B78" s="1">
        <v>42465</v>
      </c>
      <c r="C78">
        <v>10805</v>
      </c>
      <c r="D78">
        <v>7.5900001525878897</v>
      </c>
      <c r="E78">
        <v>7.5900001525878897</v>
      </c>
      <c r="F78">
        <v>0</v>
      </c>
      <c r="G78">
        <v>0.72000002861022905</v>
      </c>
      <c r="H78">
        <v>0.980000019073486</v>
      </c>
      <c r="I78">
        <v>5.8899998664856001</v>
      </c>
      <c r="J78">
        <v>0</v>
      </c>
      <c r="K78">
        <v>36</v>
      </c>
      <c r="L78">
        <v>37</v>
      </c>
      <c r="M78">
        <v>298</v>
      </c>
      <c r="N78">
        <v>1069</v>
      </c>
      <c r="O78">
        <v>2735</v>
      </c>
    </row>
    <row r="79" spans="1:15" x14ac:dyDescent="0.35">
      <c r="A79">
        <v>2022484408</v>
      </c>
      <c r="B79" s="1">
        <v>42466</v>
      </c>
      <c r="C79">
        <v>15392</v>
      </c>
      <c r="D79">
        <v>10.930000305175801</v>
      </c>
      <c r="E79">
        <v>10.930000305175801</v>
      </c>
      <c r="F79">
        <v>0</v>
      </c>
      <c r="G79">
        <v>3.4300000667571999</v>
      </c>
      <c r="H79">
        <v>1.75</v>
      </c>
      <c r="I79">
        <v>5.75</v>
      </c>
      <c r="J79">
        <v>0</v>
      </c>
      <c r="K79">
        <v>47</v>
      </c>
      <c r="L79">
        <v>42</v>
      </c>
      <c r="M79">
        <v>258</v>
      </c>
      <c r="N79">
        <v>1093</v>
      </c>
      <c r="O79">
        <v>2733</v>
      </c>
    </row>
    <row r="80" spans="1:15" x14ac:dyDescent="0.35">
      <c r="A80">
        <v>2022484408</v>
      </c>
      <c r="B80" s="1">
        <v>42467</v>
      </c>
      <c r="C80">
        <v>18247</v>
      </c>
      <c r="D80">
        <v>13.829999923706101</v>
      </c>
      <c r="E80">
        <v>13.829999923706101</v>
      </c>
      <c r="F80">
        <v>0</v>
      </c>
      <c r="G80">
        <v>7.1100001335143999</v>
      </c>
      <c r="H80">
        <v>2.21000003814697</v>
      </c>
      <c r="I80">
        <v>4.5100002288818404</v>
      </c>
      <c r="J80">
        <v>0</v>
      </c>
      <c r="K80">
        <v>72</v>
      </c>
      <c r="L80">
        <v>62</v>
      </c>
      <c r="M80">
        <v>252</v>
      </c>
      <c r="N80">
        <v>1054</v>
      </c>
      <c r="O80">
        <v>3021</v>
      </c>
    </row>
    <row r="81" spans="1:15" x14ac:dyDescent="0.35">
      <c r="A81">
        <v>2022484408</v>
      </c>
      <c r="B81" s="1">
        <v>42468</v>
      </c>
      <c r="C81">
        <v>13023</v>
      </c>
      <c r="D81">
        <v>9.2600002288818395</v>
      </c>
      <c r="E81">
        <v>9.2600002288818395</v>
      </c>
      <c r="F81">
        <v>0</v>
      </c>
      <c r="G81">
        <v>3.2300000190734899</v>
      </c>
      <c r="H81">
        <v>0.56000000238418601</v>
      </c>
      <c r="I81">
        <v>5.4699997901916504</v>
      </c>
      <c r="J81">
        <v>0</v>
      </c>
      <c r="K81">
        <v>40</v>
      </c>
      <c r="L81">
        <v>12</v>
      </c>
      <c r="M81">
        <v>296</v>
      </c>
      <c r="N81">
        <v>1092</v>
      </c>
      <c r="O81">
        <v>2577</v>
      </c>
    </row>
    <row r="82" spans="1:15" x14ac:dyDescent="0.35">
      <c r="A82">
        <v>2022484408</v>
      </c>
      <c r="B82" s="1">
        <v>42469</v>
      </c>
      <c r="C82">
        <v>16267</v>
      </c>
      <c r="D82">
        <v>12.5900001525879</v>
      </c>
      <c r="E82">
        <v>12.5900001525879</v>
      </c>
      <c r="F82">
        <v>0</v>
      </c>
      <c r="G82">
        <v>5.75</v>
      </c>
      <c r="H82">
        <v>0.46999999880790699</v>
      </c>
      <c r="I82">
        <v>6.3699998855590803</v>
      </c>
      <c r="J82">
        <v>0</v>
      </c>
      <c r="K82">
        <v>44</v>
      </c>
      <c r="L82">
        <v>16</v>
      </c>
      <c r="M82">
        <v>302</v>
      </c>
      <c r="N82">
        <v>1078</v>
      </c>
      <c r="O82">
        <v>2811</v>
      </c>
    </row>
    <row r="83" spans="1:15" x14ac:dyDescent="0.35">
      <c r="A83">
        <v>2022484408</v>
      </c>
      <c r="B83" s="1">
        <v>42470</v>
      </c>
      <c r="C83">
        <v>10005</v>
      </c>
      <c r="D83">
        <v>7.0199999809265101</v>
      </c>
      <c r="E83">
        <v>7.0199999809265101</v>
      </c>
      <c r="F83">
        <v>0</v>
      </c>
      <c r="G83">
        <v>7.9999998211860698E-2</v>
      </c>
      <c r="H83">
        <v>1.04999995231628</v>
      </c>
      <c r="I83">
        <v>5.9000000953674299</v>
      </c>
      <c r="J83">
        <v>0</v>
      </c>
      <c r="K83">
        <v>1</v>
      </c>
      <c r="L83">
        <v>23</v>
      </c>
      <c r="M83">
        <v>339</v>
      </c>
      <c r="N83">
        <v>1077</v>
      </c>
      <c r="O83">
        <v>2458</v>
      </c>
    </row>
    <row r="84" spans="1:15" x14ac:dyDescent="0.35">
      <c r="A84">
        <v>2022484408</v>
      </c>
      <c r="B84" s="1">
        <v>42471</v>
      </c>
      <c r="C84">
        <v>10106</v>
      </c>
      <c r="D84">
        <v>7.0900001525878897</v>
      </c>
      <c r="E84">
        <v>7.0900001525878897</v>
      </c>
      <c r="F84">
        <v>0</v>
      </c>
      <c r="G84">
        <v>1.21000003814697</v>
      </c>
      <c r="H84">
        <v>0.56000000238418601</v>
      </c>
      <c r="I84">
        <v>5.3299999237060502</v>
      </c>
      <c r="J84">
        <v>0</v>
      </c>
      <c r="K84">
        <v>41</v>
      </c>
      <c r="L84">
        <v>16</v>
      </c>
      <c r="M84">
        <v>272</v>
      </c>
      <c r="N84">
        <v>1111</v>
      </c>
      <c r="O84">
        <v>2568</v>
      </c>
    </row>
    <row r="85" spans="1:15" x14ac:dyDescent="0.35">
      <c r="A85">
        <v>2022484408</v>
      </c>
      <c r="B85" s="1">
        <v>42472</v>
      </c>
      <c r="C85">
        <v>6717</v>
      </c>
      <c r="D85">
        <v>4.7199997901916504</v>
      </c>
      <c r="E85">
        <v>4.7199997901916504</v>
      </c>
      <c r="F85">
        <v>0</v>
      </c>
      <c r="G85">
        <v>3.2300000190734899</v>
      </c>
      <c r="H85">
        <v>0.21999999880790699</v>
      </c>
      <c r="I85">
        <v>1.2699999809265099</v>
      </c>
      <c r="J85">
        <v>0</v>
      </c>
      <c r="K85">
        <v>41</v>
      </c>
      <c r="L85">
        <v>5</v>
      </c>
      <c r="M85">
        <v>67</v>
      </c>
      <c r="N85">
        <v>551</v>
      </c>
      <c r="O85">
        <v>1140</v>
      </c>
    </row>
    <row r="86" spans="1:15" x14ac:dyDescent="0.35">
      <c r="A86">
        <v>2026352035</v>
      </c>
      <c r="B86" s="1">
        <v>42461</v>
      </c>
      <c r="C86">
        <v>2605</v>
      </c>
      <c r="D86">
        <v>1.62000000476837</v>
      </c>
      <c r="E86">
        <v>1.62000000476837</v>
      </c>
      <c r="F86">
        <v>0</v>
      </c>
      <c r="G86">
        <v>0</v>
      </c>
      <c r="H86">
        <v>0</v>
      </c>
      <c r="I86">
        <v>1.62000000476837</v>
      </c>
      <c r="J86">
        <v>0</v>
      </c>
      <c r="K86">
        <v>0</v>
      </c>
      <c r="L86">
        <v>0</v>
      </c>
      <c r="M86">
        <v>166</v>
      </c>
      <c r="N86">
        <v>729</v>
      </c>
      <c r="O86">
        <v>1407</v>
      </c>
    </row>
    <row r="87" spans="1:15" x14ac:dyDescent="0.35">
      <c r="A87">
        <v>2026352035</v>
      </c>
      <c r="B87" s="1">
        <v>42462</v>
      </c>
      <c r="C87">
        <v>1229</v>
      </c>
      <c r="D87">
        <v>0.75999999046325695</v>
      </c>
      <c r="E87">
        <v>0.75999999046325695</v>
      </c>
      <c r="F87">
        <v>0</v>
      </c>
      <c r="G87">
        <v>0</v>
      </c>
      <c r="H87">
        <v>0</v>
      </c>
      <c r="I87">
        <v>0.75999999046325695</v>
      </c>
      <c r="J87">
        <v>0</v>
      </c>
      <c r="K87">
        <v>0</v>
      </c>
      <c r="L87">
        <v>0</v>
      </c>
      <c r="M87">
        <v>69</v>
      </c>
      <c r="N87">
        <v>795</v>
      </c>
      <c r="O87">
        <v>1237</v>
      </c>
    </row>
    <row r="88" spans="1:15" x14ac:dyDescent="0.35">
      <c r="A88">
        <v>2026352035</v>
      </c>
      <c r="B88" s="1">
        <v>42463</v>
      </c>
      <c r="C88">
        <v>2308</v>
      </c>
      <c r="D88">
        <v>1.4299999475479099</v>
      </c>
      <c r="E88">
        <v>1.4299999475479099</v>
      </c>
      <c r="F88">
        <v>0</v>
      </c>
      <c r="G88">
        <v>0</v>
      </c>
      <c r="H88">
        <v>0</v>
      </c>
      <c r="I88">
        <v>1.4299999475479099</v>
      </c>
      <c r="J88">
        <v>0</v>
      </c>
      <c r="K88">
        <v>0</v>
      </c>
      <c r="L88">
        <v>0</v>
      </c>
      <c r="M88">
        <v>115</v>
      </c>
      <c r="N88">
        <v>720</v>
      </c>
      <c r="O88">
        <v>1330</v>
      </c>
    </row>
    <row r="89" spans="1:15" x14ac:dyDescent="0.35">
      <c r="A89">
        <v>2026352035</v>
      </c>
      <c r="B89" s="1">
        <v>42464</v>
      </c>
      <c r="C89">
        <v>6679</v>
      </c>
      <c r="D89">
        <v>4.1399998664856001</v>
      </c>
      <c r="E89">
        <v>4.1399998664856001</v>
      </c>
      <c r="F89">
        <v>0</v>
      </c>
      <c r="G89">
        <v>0</v>
      </c>
      <c r="H89">
        <v>0</v>
      </c>
      <c r="I89">
        <v>4.1399998664856001</v>
      </c>
      <c r="J89">
        <v>0</v>
      </c>
      <c r="K89">
        <v>0</v>
      </c>
      <c r="L89">
        <v>0</v>
      </c>
      <c r="M89">
        <v>263</v>
      </c>
      <c r="N89">
        <v>644</v>
      </c>
      <c r="O89">
        <v>1583</v>
      </c>
    </row>
    <row r="90" spans="1:15" x14ac:dyDescent="0.35">
      <c r="A90">
        <v>2026352035</v>
      </c>
      <c r="B90" s="1">
        <v>42465</v>
      </c>
      <c r="C90">
        <v>5645</v>
      </c>
      <c r="D90">
        <v>3.5</v>
      </c>
      <c r="E90">
        <v>3.5</v>
      </c>
      <c r="F90">
        <v>0</v>
      </c>
      <c r="G90">
        <v>0</v>
      </c>
      <c r="H90">
        <v>0</v>
      </c>
      <c r="I90">
        <v>3.5</v>
      </c>
      <c r="J90">
        <v>0</v>
      </c>
      <c r="K90">
        <v>0</v>
      </c>
      <c r="L90">
        <v>0</v>
      </c>
      <c r="M90">
        <v>248</v>
      </c>
      <c r="N90">
        <v>621</v>
      </c>
      <c r="O90">
        <v>1538</v>
      </c>
    </row>
    <row r="91" spans="1:15" x14ac:dyDescent="0.35">
      <c r="A91">
        <v>2026352035</v>
      </c>
      <c r="B91" s="1">
        <v>42466</v>
      </c>
      <c r="C91">
        <v>3180</v>
      </c>
      <c r="D91">
        <v>1.9700000286102299</v>
      </c>
      <c r="E91">
        <v>1.9700000286102299</v>
      </c>
      <c r="F91">
        <v>0</v>
      </c>
      <c r="G91">
        <v>0</v>
      </c>
      <c r="H91">
        <v>0</v>
      </c>
      <c r="I91">
        <v>1.9700000286102299</v>
      </c>
      <c r="J91">
        <v>0</v>
      </c>
      <c r="K91">
        <v>0</v>
      </c>
      <c r="L91">
        <v>0</v>
      </c>
      <c r="M91">
        <v>185</v>
      </c>
      <c r="N91">
        <v>738</v>
      </c>
      <c r="O91">
        <v>1421</v>
      </c>
    </row>
    <row r="92" spans="1:15" x14ac:dyDescent="0.35">
      <c r="A92">
        <v>2026352035</v>
      </c>
      <c r="B92" s="1">
        <v>42467</v>
      </c>
      <c r="C92">
        <v>2767</v>
      </c>
      <c r="D92">
        <v>1.7200000286102299</v>
      </c>
      <c r="E92">
        <v>1.7200000286102299</v>
      </c>
      <c r="F92">
        <v>0</v>
      </c>
      <c r="G92">
        <v>0</v>
      </c>
      <c r="H92">
        <v>0</v>
      </c>
      <c r="I92">
        <v>1.7200000286102299</v>
      </c>
      <c r="J92">
        <v>0</v>
      </c>
      <c r="K92">
        <v>0</v>
      </c>
      <c r="L92">
        <v>0</v>
      </c>
      <c r="M92">
        <v>170</v>
      </c>
      <c r="N92">
        <v>673</v>
      </c>
      <c r="O92">
        <v>1392</v>
      </c>
    </row>
    <row r="93" spans="1:15" x14ac:dyDescent="0.35">
      <c r="A93">
        <v>2026352035</v>
      </c>
      <c r="B93" s="1">
        <v>42468</v>
      </c>
      <c r="C93">
        <v>3762</v>
      </c>
      <c r="D93">
        <v>2.3299999237060498</v>
      </c>
      <c r="E93">
        <v>2.3299999237060498</v>
      </c>
      <c r="F93">
        <v>0</v>
      </c>
      <c r="G93">
        <v>0</v>
      </c>
      <c r="H93">
        <v>0</v>
      </c>
      <c r="I93">
        <v>2.3299999237060498</v>
      </c>
      <c r="J93">
        <v>0</v>
      </c>
      <c r="K93">
        <v>0</v>
      </c>
      <c r="L93">
        <v>0</v>
      </c>
      <c r="M93">
        <v>173</v>
      </c>
      <c r="N93">
        <v>719</v>
      </c>
      <c r="O93">
        <v>1425</v>
      </c>
    </row>
    <row r="94" spans="1:15" x14ac:dyDescent="0.35">
      <c r="A94">
        <v>2026352035</v>
      </c>
      <c r="B94" s="1">
        <v>42469</v>
      </c>
      <c r="C94">
        <v>3098</v>
      </c>
      <c r="D94">
        <v>1.91999995708466</v>
      </c>
      <c r="E94">
        <v>1.91999995708466</v>
      </c>
      <c r="F94">
        <v>0</v>
      </c>
      <c r="G94">
        <v>0</v>
      </c>
      <c r="H94">
        <v>0</v>
      </c>
      <c r="I94">
        <v>1.91999995708466</v>
      </c>
      <c r="J94">
        <v>0</v>
      </c>
      <c r="K94">
        <v>0</v>
      </c>
      <c r="L94">
        <v>0</v>
      </c>
      <c r="M94">
        <v>185</v>
      </c>
      <c r="N94">
        <v>700</v>
      </c>
      <c r="O94">
        <v>1413</v>
      </c>
    </row>
    <row r="95" spans="1:15" x14ac:dyDescent="0.35">
      <c r="A95">
        <v>2026352035</v>
      </c>
      <c r="B95" s="1">
        <v>42470</v>
      </c>
      <c r="C95">
        <v>5142</v>
      </c>
      <c r="D95">
        <v>3.1900000572204599</v>
      </c>
      <c r="E95">
        <v>3.1900000572204599</v>
      </c>
      <c r="F95">
        <v>0</v>
      </c>
      <c r="G95">
        <v>0</v>
      </c>
      <c r="H95">
        <v>0</v>
      </c>
      <c r="I95">
        <v>3.1900000572204599</v>
      </c>
      <c r="J95">
        <v>0</v>
      </c>
      <c r="K95">
        <v>0</v>
      </c>
      <c r="L95">
        <v>0</v>
      </c>
      <c r="M95">
        <v>230</v>
      </c>
      <c r="N95">
        <v>654</v>
      </c>
      <c r="O95">
        <v>1515</v>
      </c>
    </row>
    <row r="96" spans="1:15" x14ac:dyDescent="0.35">
      <c r="A96">
        <v>2026352035</v>
      </c>
      <c r="B96" s="1">
        <v>42471</v>
      </c>
      <c r="C96">
        <v>3279</v>
      </c>
      <c r="D96">
        <v>2.0299999713897701</v>
      </c>
      <c r="E96">
        <v>2.0299999713897701</v>
      </c>
      <c r="F96">
        <v>0</v>
      </c>
      <c r="G96">
        <v>0</v>
      </c>
      <c r="H96">
        <v>0</v>
      </c>
      <c r="I96">
        <v>2.0299999713897701</v>
      </c>
      <c r="J96">
        <v>0</v>
      </c>
      <c r="K96">
        <v>0</v>
      </c>
      <c r="L96">
        <v>0</v>
      </c>
      <c r="M96">
        <v>164</v>
      </c>
      <c r="N96">
        <v>694</v>
      </c>
      <c r="O96">
        <v>1405</v>
      </c>
    </row>
    <row r="97" spans="1:15" x14ac:dyDescent="0.35">
      <c r="A97">
        <v>2026352035</v>
      </c>
      <c r="B97" s="1">
        <v>42472</v>
      </c>
      <c r="C97">
        <v>1019</v>
      </c>
      <c r="D97">
        <v>0.62999999523162797</v>
      </c>
      <c r="E97">
        <v>0.62999999523162797</v>
      </c>
      <c r="F97">
        <v>0</v>
      </c>
      <c r="G97">
        <v>0</v>
      </c>
      <c r="H97">
        <v>0</v>
      </c>
      <c r="I97">
        <v>0.62999999523162797</v>
      </c>
      <c r="J97">
        <v>0</v>
      </c>
      <c r="K97">
        <v>0</v>
      </c>
      <c r="L97">
        <v>0</v>
      </c>
      <c r="M97">
        <v>64</v>
      </c>
      <c r="N97">
        <v>223</v>
      </c>
      <c r="O97">
        <v>600</v>
      </c>
    </row>
    <row r="98" spans="1:15" x14ac:dyDescent="0.35">
      <c r="A98">
        <v>2320127002</v>
      </c>
      <c r="B98" s="1">
        <v>42461</v>
      </c>
      <c r="C98">
        <v>0</v>
      </c>
      <c r="D98">
        <v>0</v>
      </c>
      <c r="E98">
        <v>0</v>
      </c>
      <c r="F98">
        <v>0</v>
      </c>
      <c r="G98">
        <v>0</v>
      </c>
      <c r="H98">
        <v>0</v>
      </c>
      <c r="I98">
        <v>0</v>
      </c>
      <c r="J98">
        <v>0</v>
      </c>
      <c r="K98">
        <v>0</v>
      </c>
      <c r="L98">
        <v>0</v>
      </c>
      <c r="M98">
        <v>0</v>
      </c>
      <c r="N98">
        <v>1440</v>
      </c>
      <c r="O98">
        <v>1324</v>
      </c>
    </row>
    <row r="99" spans="1:15" x14ac:dyDescent="0.35">
      <c r="A99">
        <v>2320127002</v>
      </c>
      <c r="B99" s="1">
        <v>42462</v>
      </c>
      <c r="C99">
        <v>0</v>
      </c>
      <c r="D99">
        <v>0</v>
      </c>
      <c r="E99">
        <v>0</v>
      </c>
      <c r="F99">
        <v>0</v>
      </c>
      <c r="G99">
        <v>0</v>
      </c>
      <c r="H99">
        <v>0</v>
      </c>
      <c r="I99">
        <v>0</v>
      </c>
      <c r="J99">
        <v>0</v>
      </c>
      <c r="K99">
        <v>0</v>
      </c>
      <c r="L99">
        <v>0</v>
      </c>
      <c r="M99">
        <v>0</v>
      </c>
      <c r="N99">
        <v>1440</v>
      </c>
      <c r="O99">
        <v>1324</v>
      </c>
    </row>
    <row r="100" spans="1:15" x14ac:dyDescent="0.35">
      <c r="A100">
        <v>2320127002</v>
      </c>
      <c r="B100" s="1">
        <v>42463</v>
      </c>
      <c r="C100">
        <v>0</v>
      </c>
      <c r="D100">
        <v>0</v>
      </c>
      <c r="E100">
        <v>0</v>
      </c>
      <c r="F100">
        <v>0</v>
      </c>
      <c r="G100">
        <v>0</v>
      </c>
      <c r="H100">
        <v>0</v>
      </c>
      <c r="I100">
        <v>0</v>
      </c>
      <c r="J100">
        <v>0</v>
      </c>
      <c r="K100">
        <v>0</v>
      </c>
      <c r="L100">
        <v>0</v>
      </c>
      <c r="M100">
        <v>0</v>
      </c>
      <c r="N100">
        <v>1440</v>
      </c>
      <c r="O100">
        <v>1324</v>
      </c>
    </row>
    <row r="101" spans="1:15" x14ac:dyDescent="0.35">
      <c r="A101">
        <v>2320127002</v>
      </c>
      <c r="B101" s="1">
        <v>42464</v>
      </c>
      <c r="C101">
        <v>0</v>
      </c>
      <c r="D101">
        <v>0</v>
      </c>
      <c r="E101">
        <v>0</v>
      </c>
      <c r="F101">
        <v>0</v>
      </c>
      <c r="G101">
        <v>0</v>
      </c>
      <c r="H101">
        <v>0</v>
      </c>
      <c r="I101">
        <v>0</v>
      </c>
      <c r="J101">
        <v>0</v>
      </c>
      <c r="K101">
        <v>0</v>
      </c>
      <c r="L101">
        <v>0</v>
      </c>
      <c r="M101">
        <v>0</v>
      </c>
      <c r="N101">
        <v>1440</v>
      </c>
      <c r="O101">
        <v>1324</v>
      </c>
    </row>
    <row r="102" spans="1:15" x14ac:dyDescent="0.35">
      <c r="A102">
        <v>2320127002</v>
      </c>
      <c r="B102" s="1">
        <v>42465</v>
      </c>
      <c r="C102">
        <v>4931</v>
      </c>
      <c r="D102">
        <v>3.3199999332428001</v>
      </c>
      <c r="E102">
        <v>3.3199999332428001</v>
      </c>
      <c r="F102">
        <v>0</v>
      </c>
      <c r="G102">
        <v>0</v>
      </c>
      <c r="H102">
        <v>0</v>
      </c>
      <c r="I102">
        <v>3.3199999332428001</v>
      </c>
      <c r="J102">
        <v>0</v>
      </c>
      <c r="K102">
        <v>0</v>
      </c>
      <c r="L102">
        <v>0</v>
      </c>
      <c r="M102">
        <v>175</v>
      </c>
      <c r="N102">
        <v>1265</v>
      </c>
      <c r="O102">
        <v>1708</v>
      </c>
    </row>
    <row r="103" spans="1:15" x14ac:dyDescent="0.35">
      <c r="A103">
        <v>2320127002</v>
      </c>
      <c r="B103" s="1">
        <v>42466</v>
      </c>
      <c r="C103">
        <v>6999</v>
      </c>
      <c r="D103">
        <v>4.7199997901916504</v>
      </c>
      <c r="E103">
        <v>4.7199997901916504</v>
      </c>
      <c r="F103">
        <v>0</v>
      </c>
      <c r="G103">
        <v>0</v>
      </c>
      <c r="H103">
        <v>0</v>
      </c>
      <c r="I103">
        <v>4.7199997901916504</v>
      </c>
      <c r="J103">
        <v>0</v>
      </c>
      <c r="K103">
        <v>0</v>
      </c>
      <c r="L103">
        <v>0</v>
      </c>
      <c r="M103">
        <v>320</v>
      </c>
      <c r="N103">
        <v>1120</v>
      </c>
      <c r="O103">
        <v>1950</v>
      </c>
    </row>
    <row r="104" spans="1:15" x14ac:dyDescent="0.35">
      <c r="A104">
        <v>2320127002</v>
      </c>
      <c r="B104" s="1">
        <v>42467</v>
      </c>
      <c r="C104">
        <v>1846</v>
      </c>
      <c r="D104">
        <v>1.2400000095367401</v>
      </c>
      <c r="E104">
        <v>1.2400000095367401</v>
      </c>
      <c r="F104">
        <v>0</v>
      </c>
      <c r="G104">
        <v>0</v>
      </c>
      <c r="H104">
        <v>0</v>
      </c>
      <c r="I104">
        <v>1.2400000095367401</v>
      </c>
      <c r="J104">
        <v>0</v>
      </c>
      <c r="K104">
        <v>0</v>
      </c>
      <c r="L104">
        <v>0</v>
      </c>
      <c r="M104">
        <v>93</v>
      </c>
      <c r="N104">
        <v>1347</v>
      </c>
      <c r="O104">
        <v>1508</v>
      </c>
    </row>
    <row r="105" spans="1:15" x14ac:dyDescent="0.35">
      <c r="A105">
        <v>2320127002</v>
      </c>
      <c r="B105" s="1">
        <v>42468</v>
      </c>
      <c r="C105">
        <v>3417</v>
      </c>
      <c r="D105">
        <v>2.2999999523162802</v>
      </c>
      <c r="E105">
        <v>2.2999999523162802</v>
      </c>
      <c r="F105">
        <v>0</v>
      </c>
      <c r="G105">
        <v>0</v>
      </c>
      <c r="H105">
        <v>0</v>
      </c>
      <c r="I105">
        <v>2.2999999523162802</v>
      </c>
      <c r="J105">
        <v>0</v>
      </c>
      <c r="K105">
        <v>0</v>
      </c>
      <c r="L105">
        <v>0</v>
      </c>
      <c r="M105">
        <v>153</v>
      </c>
      <c r="N105">
        <v>1287</v>
      </c>
      <c r="O105">
        <v>1625</v>
      </c>
    </row>
    <row r="106" spans="1:15" x14ac:dyDescent="0.35">
      <c r="A106">
        <v>2320127002</v>
      </c>
      <c r="B106" s="1">
        <v>42469</v>
      </c>
      <c r="C106">
        <v>4863</v>
      </c>
      <c r="D106">
        <v>3.2799999713897701</v>
      </c>
      <c r="E106">
        <v>3.2799999713897701</v>
      </c>
      <c r="F106">
        <v>0</v>
      </c>
      <c r="G106">
        <v>5.9999998658895499E-2</v>
      </c>
      <c r="H106">
        <v>0.41999998688697798</v>
      </c>
      <c r="I106">
        <v>2.7999999523162802</v>
      </c>
      <c r="J106">
        <v>0</v>
      </c>
      <c r="K106">
        <v>1</v>
      </c>
      <c r="L106">
        <v>11</v>
      </c>
      <c r="M106">
        <v>208</v>
      </c>
      <c r="N106">
        <v>1220</v>
      </c>
      <c r="O106">
        <v>1772</v>
      </c>
    </row>
    <row r="107" spans="1:15" x14ac:dyDescent="0.35">
      <c r="A107">
        <v>2320127002</v>
      </c>
      <c r="B107" s="1">
        <v>42470</v>
      </c>
      <c r="C107">
        <v>2277</v>
      </c>
      <c r="D107">
        <v>1.5299999713897701</v>
      </c>
      <c r="E107">
        <v>1.5299999713897701</v>
      </c>
      <c r="F107">
        <v>0</v>
      </c>
      <c r="G107">
        <v>0</v>
      </c>
      <c r="H107">
        <v>0</v>
      </c>
      <c r="I107">
        <v>1.5299999713897701</v>
      </c>
      <c r="J107">
        <v>0</v>
      </c>
      <c r="K107">
        <v>0</v>
      </c>
      <c r="L107">
        <v>0</v>
      </c>
      <c r="M107">
        <v>103</v>
      </c>
      <c r="N107">
        <v>1337</v>
      </c>
      <c r="O107">
        <v>1530</v>
      </c>
    </row>
    <row r="108" spans="1:15" x14ac:dyDescent="0.35">
      <c r="A108">
        <v>2320127002</v>
      </c>
      <c r="B108" s="1">
        <v>42471</v>
      </c>
      <c r="C108">
        <v>11230</v>
      </c>
      <c r="D108">
        <v>7.6700000762939498</v>
      </c>
      <c r="E108">
        <v>7.6700000762939498</v>
      </c>
      <c r="F108">
        <v>0</v>
      </c>
      <c r="G108">
        <v>0.88999998569488503</v>
      </c>
      <c r="H108">
        <v>0.119999997317791</v>
      </c>
      <c r="I108">
        <v>6.6599998474121103</v>
      </c>
      <c r="J108">
        <v>0</v>
      </c>
      <c r="K108">
        <v>10</v>
      </c>
      <c r="L108">
        <v>2</v>
      </c>
      <c r="M108">
        <v>390</v>
      </c>
      <c r="N108">
        <v>1038</v>
      </c>
      <c r="O108">
        <v>2206</v>
      </c>
    </row>
    <row r="109" spans="1:15" x14ac:dyDescent="0.35">
      <c r="A109">
        <v>2320127002</v>
      </c>
      <c r="B109" s="1">
        <v>42472</v>
      </c>
      <c r="C109">
        <v>2098</v>
      </c>
      <c r="D109">
        <v>1.4099999666214</v>
      </c>
      <c r="E109">
        <v>1.4099999666214</v>
      </c>
      <c r="F109">
        <v>0</v>
      </c>
      <c r="G109">
        <v>0</v>
      </c>
      <c r="H109">
        <v>0</v>
      </c>
      <c r="I109">
        <v>1.4099999666214</v>
      </c>
      <c r="J109">
        <v>0</v>
      </c>
      <c r="K109">
        <v>0</v>
      </c>
      <c r="L109">
        <v>0</v>
      </c>
      <c r="M109">
        <v>69</v>
      </c>
      <c r="N109">
        <v>617</v>
      </c>
      <c r="O109">
        <v>790</v>
      </c>
    </row>
    <row r="110" spans="1:15" x14ac:dyDescent="0.35">
      <c r="A110">
        <v>2347167796</v>
      </c>
      <c r="B110" s="1">
        <v>42458</v>
      </c>
      <c r="C110">
        <v>10272</v>
      </c>
      <c r="D110">
        <v>6.78999996185303</v>
      </c>
      <c r="E110">
        <v>6.78999996185303</v>
      </c>
      <c r="F110">
        <v>0</v>
      </c>
      <c r="G110">
        <v>0.15999999642372101</v>
      </c>
      <c r="H110">
        <v>3.1199998855590798</v>
      </c>
      <c r="I110">
        <v>3.5</v>
      </c>
      <c r="J110">
        <v>0</v>
      </c>
      <c r="K110">
        <v>2</v>
      </c>
      <c r="L110">
        <v>58</v>
      </c>
      <c r="M110">
        <v>208</v>
      </c>
      <c r="N110">
        <v>700</v>
      </c>
      <c r="O110">
        <v>2041</v>
      </c>
    </row>
    <row r="111" spans="1:15" x14ac:dyDescent="0.35">
      <c r="A111">
        <v>2347167796</v>
      </c>
      <c r="B111" s="1">
        <v>42459</v>
      </c>
      <c r="C111">
        <v>10533</v>
      </c>
      <c r="D111">
        <v>7.0999999046325701</v>
      </c>
      <c r="E111">
        <v>7.0999999046325701</v>
      </c>
      <c r="F111">
        <v>0</v>
      </c>
      <c r="G111">
        <v>1.7699999809265099</v>
      </c>
      <c r="H111">
        <v>2.0599999427795401</v>
      </c>
      <c r="I111">
        <v>3.2699999809265101</v>
      </c>
      <c r="J111">
        <v>0</v>
      </c>
      <c r="K111">
        <v>21</v>
      </c>
      <c r="L111">
        <v>35</v>
      </c>
      <c r="M111">
        <v>255</v>
      </c>
      <c r="N111">
        <v>615</v>
      </c>
      <c r="O111">
        <v>2187</v>
      </c>
    </row>
    <row r="112" spans="1:15" x14ac:dyDescent="0.35">
      <c r="A112">
        <v>2347167796</v>
      </c>
      <c r="B112" s="1">
        <v>42460</v>
      </c>
      <c r="C112">
        <v>6760</v>
      </c>
      <c r="D112">
        <v>4.4699997901916504</v>
      </c>
      <c r="E112">
        <v>4.4699997901916504</v>
      </c>
      <c r="F112">
        <v>0</v>
      </c>
      <c r="G112">
        <v>0</v>
      </c>
      <c r="H112">
        <v>0</v>
      </c>
      <c r="I112">
        <v>4.4699997901916504</v>
      </c>
      <c r="J112">
        <v>0</v>
      </c>
      <c r="K112">
        <v>0</v>
      </c>
      <c r="L112">
        <v>0</v>
      </c>
      <c r="M112">
        <v>250</v>
      </c>
      <c r="N112">
        <v>613</v>
      </c>
      <c r="O112">
        <v>1929</v>
      </c>
    </row>
    <row r="113" spans="1:15" x14ac:dyDescent="0.35">
      <c r="A113">
        <v>2347167796</v>
      </c>
      <c r="B113" s="1">
        <v>42461</v>
      </c>
      <c r="C113">
        <v>8328</v>
      </c>
      <c r="D113">
        <v>5.5100002288818404</v>
      </c>
      <c r="E113">
        <v>5.5100002288818404</v>
      </c>
      <c r="F113">
        <v>0</v>
      </c>
      <c r="G113">
        <v>0</v>
      </c>
      <c r="H113">
        <v>2</v>
      </c>
      <c r="I113">
        <v>3.5</v>
      </c>
      <c r="J113">
        <v>0</v>
      </c>
      <c r="K113">
        <v>0</v>
      </c>
      <c r="L113">
        <v>33</v>
      </c>
      <c r="M113">
        <v>212</v>
      </c>
      <c r="N113">
        <v>804</v>
      </c>
      <c r="O113">
        <v>1935</v>
      </c>
    </row>
    <row r="114" spans="1:15" x14ac:dyDescent="0.35">
      <c r="A114">
        <v>2347167796</v>
      </c>
      <c r="B114" s="1">
        <v>42462</v>
      </c>
      <c r="C114">
        <v>15459</v>
      </c>
      <c r="D114">
        <v>10.2200002670288</v>
      </c>
      <c r="E114">
        <v>10.2200002670288</v>
      </c>
      <c r="F114">
        <v>0</v>
      </c>
      <c r="G114">
        <v>3.5899999141693102</v>
      </c>
      <c r="H114">
        <v>0.81000000238418601</v>
      </c>
      <c r="I114">
        <v>5.8200001716613796</v>
      </c>
      <c r="J114">
        <v>0</v>
      </c>
      <c r="K114">
        <v>51</v>
      </c>
      <c r="L114">
        <v>16</v>
      </c>
      <c r="M114">
        <v>327</v>
      </c>
      <c r="N114">
        <v>583</v>
      </c>
      <c r="O114">
        <v>2438</v>
      </c>
    </row>
    <row r="115" spans="1:15" x14ac:dyDescent="0.35">
      <c r="A115">
        <v>2347167796</v>
      </c>
      <c r="B115" s="1">
        <v>42463</v>
      </c>
      <c r="C115">
        <v>7485</v>
      </c>
      <c r="D115">
        <v>4.9499998092651403</v>
      </c>
      <c r="E115">
        <v>4.9499998092651403</v>
      </c>
      <c r="F115">
        <v>0</v>
      </c>
      <c r="G115">
        <v>0</v>
      </c>
      <c r="H115">
        <v>0</v>
      </c>
      <c r="I115">
        <v>4.9499998092651403</v>
      </c>
      <c r="J115">
        <v>0</v>
      </c>
      <c r="K115">
        <v>0</v>
      </c>
      <c r="L115">
        <v>0</v>
      </c>
      <c r="M115">
        <v>324</v>
      </c>
      <c r="N115">
        <v>491</v>
      </c>
      <c r="O115">
        <v>2035</v>
      </c>
    </row>
    <row r="116" spans="1:15" x14ac:dyDescent="0.35">
      <c r="A116">
        <v>2347167796</v>
      </c>
      <c r="B116" s="1">
        <v>42464</v>
      </c>
      <c r="C116">
        <v>10254</v>
      </c>
      <c r="D116">
        <v>6.8000001907348597</v>
      </c>
      <c r="E116">
        <v>6.8000001907348597</v>
      </c>
      <c r="F116">
        <v>0</v>
      </c>
      <c r="G116">
        <v>1.41999995708466</v>
      </c>
      <c r="H116">
        <v>1.2300000190734901</v>
      </c>
      <c r="I116">
        <v>4.1599998474121103</v>
      </c>
      <c r="J116">
        <v>0</v>
      </c>
      <c r="K116">
        <v>21</v>
      </c>
      <c r="L116">
        <v>25</v>
      </c>
      <c r="M116">
        <v>231</v>
      </c>
      <c r="N116">
        <v>638</v>
      </c>
      <c r="O116">
        <v>2099</v>
      </c>
    </row>
    <row r="117" spans="1:15" x14ac:dyDescent="0.35">
      <c r="A117">
        <v>2347167796</v>
      </c>
      <c r="B117" s="1">
        <v>42465</v>
      </c>
      <c r="C117">
        <v>10114</v>
      </c>
      <c r="D117">
        <v>6.8200001716613796</v>
      </c>
      <c r="E117">
        <v>6.8200001716613796</v>
      </c>
      <c r="F117">
        <v>0</v>
      </c>
      <c r="G117">
        <v>1.6399999856948899</v>
      </c>
      <c r="H117">
        <v>0.479999989271164</v>
      </c>
      <c r="I117">
        <v>4.6799998283386204</v>
      </c>
      <c r="J117">
        <v>0</v>
      </c>
      <c r="K117">
        <v>18</v>
      </c>
      <c r="L117">
        <v>9</v>
      </c>
      <c r="M117">
        <v>269</v>
      </c>
      <c r="N117">
        <v>696</v>
      </c>
      <c r="O117">
        <v>2096</v>
      </c>
    </row>
    <row r="118" spans="1:15" x14ac:dyDescent="0.35">
      <c r="A118">
        <v>2347167796</v>
      </c>
      <c r="B118" s="1">
        <v>42466</v>
      </c>
      <c r="C118">
        <v>11107</v>
      </c>
      <c r="D118">
        <v>7.3400001525878897</v>
      </c>
      <c r="E118">
        <v>7.3400001525878897</v>
      </c>
      <c r="F118">
        <v>0</v>
      </c>
      <c r="G118">
        <v>0.89999997615814198</v>
      </c>
      <c r="H118">
        <v>2.7599999904632599</v>
      </c>
      <c r="I118">
        <v>3.6800000667571999</v>
      </c>
      <c r="J118">
        <v>0</v>
      </c>
      <c r="K118">
        <v>14</v>
      </c>
      <c r="L118">
        <v>46</v>
      </c>
      <c r="M118">
        <v>196</v>
      </c>
      <c r="N118">
        <v>759</v>
      </c>
      <c r="O118">
        <v>2058</v>
      </c>
    </row>
    <row r="119" spans="1:15" x14ac:dyDescent="0.35">
      <c r="A119">
        <v>2347167796</v>
      </c>
      <c r="B119" s="1">
        <v>42467</v>
      </c>
      <c r="C119">
        <v>10320</v>
      </c>
      <c r="D119">
        <v>6.8499999046325701</v>
      </c>
      <c r="E119">
        <v>6.8499999046325701</v>
      </c>
      <c r="F119">
        <v>0</v>
      </c>
      <c r="G119">
        <v>0.68000000715255704</v>
      </c>
      <c r="H119">
        <v>1.2300000190734901</v>
      </c>
      <c r="I119">
        <v>4.9400000572204599</v>
      </c>
      <c r="J119">
        <v>0</v>
      </c>
      <c r="K119">
        <v>15</v>
      </c>
      <c r="L119">
        <v>32</v>
      </c>
      <c r="M119">
        <v>315</v>
      </c>
      <c r="N119">
        <v>1002</v>
      </c>
      <c r="O119">
        <v>2338</v>
      </c>
    </row>
    <row r="120" spans="1:15" x14ac:dyDescent="0.35">
      <c r="A120">
        <v>2347167796</v>
      </c>
      <c r="B120" s="1">
        <v>42468</v>
      </c>
      <c r="C120">
        <v>10209</v>
      </c>
      <c r="D120">
        <v>6.75</v>
      </c>
      <c r="E120">
        <v>6.75</v>
      </c>
      <c r="F120">
        <v>0</v>
      </c>
      <c r="G120">
        <v>0.15999999642372101</v>
      </c>
      <c r="H120">
        <v>0.34999999403953602</v>
      </c>
      <c r="I120">
        <v>6.2300000190734899</v>
      </c>
      <c r="J120">
        <v>0</v>
      </c>
      <c r="K120">
        <v>2</v>
      </c>
      <c r="L120">
        <v>6</v>
      </c>
      <c r="M120">
        <v>316</v>
      </c>
      <c r="N120">
        <v>711</v>
      </c>
      <c r="O120">
        <v>2104</v>
      </c>
    </row>
    <row r="121" spans="1:15" x14ac:dyDescent="0.35">
      <c r="A121">
        <v>2347167796</v>
      </c>
      <c r="B121" s="1">
        <v>42469</v>
      </c>
      <c r="C121">
        <v>16081</v>
      </c>
      <c r="D121">
        <v>10.6300001144409</v>
      </c>
      <c r="E121">
        <v>10.6300001144409</v>
      </c>
      <c r="F121">
        <v>0</v>
      </c>
      <c r="G121">
        <v>1.25</v>
      </c>
      <c r="H121">
        <v>1.8200000524520901</v>
      </c>
      <c r="I121">
        <v>7.5599999427795401</v>
      </c>
      <c r="J121">
        <v>0</v>
      </c>
      <c r="K121">
        <v>16</v>
      </c>
      <c r="L121">
        <v>32</v>
      </c>
      <c r="M121">
        <v>401</v>
      </c>
      <c r="N121">
        <v>970</v>
      </c>
      <c r="O121">
        <v>2488</v>
      </c>
    </row>
    <row r="122" spans="1:15" x14ac:dyDescent="0.35">
      <c r="A122">
        <v>2347167796</v>
      </c>
      <c r="B122" s="1">
        <v>42470</v>
      </c>
      <c r="C122">
        <v>10078</v>
      </c>
      <c r="D122">
        <v>6.8299999237060502</v>
      </c>
      <c r="E122">
        <v>6.8299999237060502</v>
      </c>
      <c r="F122">
        <v>0</v>
      </c>
      <c r="G122">
        <v>1.0199999809265099</v>
      </c>
      <c r="H122">
        <v>0.119999997317791</v>
      </c>
      <c r="I122">
        <v>5.6900000572204599</v>
      </c>
      <c r="J122">
        <v>0</v>
      </c>
      <c r="K122">
        <v>12</v>
      </c>
      <c r="L122">
        <v>3</v>
      </c>
      <c r="M122">
        <v>303</v>
      </c>
      <c r="N122">
        <v>463</v>
      </c>
      <c r="O122">
        <v>2164</v>
      </c>
    </row>
    <row r="123" spans="1:15" x14ac:dyDescent="0.35">
      <c r="A123">
        <v>2347167796</v>
      </c>
      <c r="B123" s="1">
        <v>42471</v>
      </c>
      <c r="C123">
        <v>10001</v>
      </c>
      <c r="D123">
        <v>6.6100001335143999</v>
      </c>
      <c r="E123">
        <v>6.6100001335143999</v>
      </c>
      <c r="F123">
        <v>0</v>
      </c>
      <c r="G123">
        <v>0.33000001311302202</v>
      </c>
      <c r="H123">
        <v>2.9300000667571999</v>
      </c>
      <c r="I123">
        <v>3.3599998950958301</v>
      </c>
      <c r="J123">
        <v>0</v>
      </c>
      <c r="K123">
        <v>5</v>
      </c>
      <c r="L123">
        <v>52</v>
      </c>
      <c r="M123">
        <v>196</v>
      </c>
      <c r="N123">
        <v>788</v>
      </c>
      <c r="O123">
        <v>2009</v>
      </c>
    </row>
    <row r="124" spans="1:15" x14ac:dyDescent="0.35">
      <c r="A124">
        <v>2347167796</v>
      </c>
      <c r="B124" s="1">
        <v>42472</v>
      </c>
      <c r="C124">
        <v>0</v>
      </c>
      <c r="D124">
        <v>0</v>
      </c>
      <c r="E124">
        <v>0</v>
      </c>
      <c r="F124">
        <v>0</v>
      </c>
      <c r="G124">
        <v>0</v>
      </c>
      <c r="H124">
        <v>0</v>
      </c>
      <c r="I124">
        <v>0</v>
      </c>
      <c r="J124">
        <v>0</v>
      </c>
      <c r="K124">
        <v>0</v>
      </c>
      <c r="L124">
        <v>0</v>
      </c>
      <c r="M124">
        <v>0</v>
      </c>
      <c r="N124">
        <v>425</v>
      </c>
      <c r="O124">
        <v>399</v>
      </c>
    </row>
    <row r="125" spans="1:15" x14ac:dyDescent="0.35">
      <c r="A125">
        <v>2873212765</v>
      </c>
      <c r="B125" s="1">
        <v>42461</v>
      </c>
      <c r="C125">
        <v>890</v>
      </c>
      <c r="D125">
        <v>0.60000002384185802</v>
      </c>
      <c r="E125">
        <v>0.60000002384185802</v>
      </c>
      <c r="F125">
        <v>0</v>
      </c>
      <c r="G125">
        <v>0</v>
      </c>
      <c r="H125">
        <v>0</v>
      </c>
      <c r="I125">
        <v>0.60000002384185802</v>
      </c>
      <c r="J125">
        <v>0</v>
      </c>
      <c r="K125">
        <v>0</v>
      </c>
      <c r="L125">
        <v>0</v>
      </c>
      <c r="M125">
        <v>41</v>
      </c>
      <c r="N125">
        <v>1399</v>
      </c>
      <c r="O125">
        <v>1335</v>
      </c>
    </row>
    <row r="126" spans="1:15" x14ac:dyDescent="0.35">
      <c r="A126">
        <v>2873212765</v>
      </c>
      <c r="B126" s="1">
        <v>42462</v>
      </c>
      <c r="C126">
        <v>2214</v>
      </c>
      <c r="D126">
        <v>1.4900000095367401</v>
      </c>
      <c r="E126">
        <v>1.4900000095367401</v>
      </c>
      <c r="F126">
        <v>0</v>
      </c>
      <c r="G126">
        <v>0</v>
      </c>
      <c r="H126">
        <v>0</v>
      </c>
      <c r="I126">
        <v>1.4900000095367401</v>
      </c>
      <c r="J126">
        <v>0</v>
      </c>
      <c r="K126">
        <v>0</v>
      </c>
      <c r="L126">
        <v>0</v>
      </c>
      <c r="M126">
        <v>197</v>
      </c>
      <c r="N126">
        <v>1243</v>
      </c>
      <c r="O126">
        <v>1559</v>
      </c>
    </row>
    <row r="127" spans="1:15" x14ac:dyDescent="0.35">
      <c r="A127">
        <v>2873212765</v>
      </c>
      <c r="B127" s="1">
        <v>42463</v>
      </c>
      <c r="C127">
        <v>7640</v>
      </c>
      <c r="D127">
        <v>5.1300001144409197</v>
      </c>
      <c r="E127">
        <v>5.1300001144409197</v>
      </c>
      <c r="F127">
        <v>0</v>
      </c>
      <c r="G127">
        <v>0.18999999761581399</v>
      </c>
      <c r="H127">
        <v>0.80000001192092896</v>
      </c>
      <c r="I127">
        <v>4.1500000953674299</v>
      </c>
      <c r="J127">
        <v>0</v>
      </c>
      <c r="K127">
        <v>3</v>
      </c>
      <c r="L127">
        <v>15</v>
      </c>
      <c r="M127">
        <v>315</v>
      </c>
      <c r="N127">
        <v>1107</v>
      </c>
      <c r="O127">
        <v>1845</v>
      </c>
    </row>
    <row r="128" spans="1:15" x14ac:dyDescent="0.35">
      <c r="A128">
        <v>2873212765</v>
      </c>
      <c r="B128" s="1">
        <v>42464</v>
      </c>
      <c r="C128">
        <v>9713</v>
      </c>
      <c r="D128">
        <v>6.5300002098083496</v>
      </c>
      <c r="E128">
        <v>6.5300002098083496</v>
      </c>
      <c r="F128">
        <v>0</v>
      </c>
      <c r="G128">
        <v>0.34000000357627902</v>
      </c>
      <c r="H128">
        <v>0.88999998569488503</v>
      </c>
      <c r="I128">
        <v>5.28999996185303</v>
      </c>
      <c r="J128">
        <v>0</v>
      </c>
      <c r="K128">
        <v>6</v>
      </c>
      <c r="L128">
        <v>24</v>
      </c>
      <c r="M128">
        <v>355</v>
      </c>
      <c r="N128">
        <v>1055</v>
      </c>
      <c r="O128">
        <v>2046</v>
      </c>
    </row>
    <row r="129" spans="1:15" x14ac:dyDescent="0.35">
      <c r="A129">
        <v>2873212765</v>
      </c>
      <c r="B129" s="1">
        <v>42465</v>
      </c>
      <c r="C129">
        <v>8432</v>
      </c>
      <c r="D129">
        <v>5.6700000762939498</v>
      </c>
      <c r="E129">
        <v>5.6700000762939498</v>
      </c>
      <c r="F129">
        <v>0</v>
      </c>
      <c r="G129">
        <v>0</v>
      </c>
      <c r="H129">
        <v>0</v>
      </c>
      <c r="I129">
        <v>5.6500000953674299</v>
      </c>
      <c r="J129">
        <v>9.9999997764825804E-3</v>
      </c>
      <c r="K129">
        <v>0</v>
      </c>
      <c r="L129">
        <v>0</v>
      </c>
      <c r="M129">
        <v>374</v>
      </c>
      <c r="N129">
        <v>1066</v>
      </c>
      <c r="O129">
        <v>1953</v>
      </c>
    </row>
    <row r="130" spans="1:15" x14ac:dyDescent="0.35">
      <c r="A130">
        <v>2873212765</v>
      </c>
      <c r="B130" s="1">
        <v>42466</v>
      </c>
      <c r="C130">
        <v>7350</v>
      </c>
      <c r="D130">
        <v>4.9400000572204599</v>
      </c>
      <c r="E130">
        <v>4.9400000572204599</v>
      </c>
      <c r="F130">
        <v>0</v>
      </c>
      <c r="G130">
        <v>0</v>
      </c>
      <c r="H130">
        <v>0</v>
      </c>
      <c r="I130">
        <v>4.9400000572204599</v>
      </c>
      <c r="J130">
        <v>0</v>
      </c>
      <c r="K130">
        <v>0</v>
      </c>
      <c r="L130">
        <v>0</v>
      </c>
      <c r="M130">
        <v>382</v>
      </c>
      <c r="N130">
        <v>1058</v>
      </c>
      <c r="O130">
        <v>1910</v>
      </c>
    </row>
    <row r="131" spans="1:15" x14ac:dyDescent="0.35">
      <c r="A131">
        <v>2873212765</v>
      </c>
      <c r="B131" s="1">
        <v>42467</v>
      </c>
      <c r="C131">
        <v>9353</v>
      </c>
      <c r="D131">
        <v>6.3099999427795401</v>
      </c>
      <c r="E131">
        <v>6.3099999427795401</v>
      </c>
      <c r="F131">
        <v>0</v>
      </c>
      <c r="G131">
        <v>0.37000000476837203</v>
      </c>
      <c r="H131">
        <v>0.68999999761581399</v>
      </c>
      <c r="I131">
        <v>5.2399997711181596</v>
      </c>
      <c r="J131">
        <v>0</v>
      </c>
      <c r="K131">
        <v>5</v>
      </c>
      <c r="L131">
        <v>17</v>
      </c>
      <c r="M131">
        <v>363</v>
      </c>
      <c r="N131">
        <v>1055</v>
      </c>
      <c r="O131">
        <v>2035</v>
      </c>
    </row>
    <row r="132" spans="1:15" x14ac:dyDescent="0.35">
      <c r="A132">
        <v>2873212765</v>
      </c>
      <c r="B132" s="1">
        <v>42468</v>
      </c>
      <c r="C132">
        <v>7157</v>
      </c>
      <c r="D132">
        <v>4.8099999427795401</v>
      </c>
      <c r="E132">
        <v>4.8099999427795401</v>
      </c>
      <c r="F132">
        <v>0</v>
      </c>
      <c r="G132">
        <v>0</v>
      </c>
      <c r="H132">
        <v>0</v>
      </c>
      <c r="I132">
        <v>4.8099999427795401</v>
      </c>
      <c r="J132">
        <v>0</v>
      </c>
      <c r="K132">
        <v>0</v>
      </c>
      <c r="L132">
        <v>0</v>
      </c>
      <c r="M132">
        <v>380</v>
      </c>
      <c r="N132">
        <v>1060</v>
      </c>
      <c r="O132">
        <v>1944</v>
      </c>
    </row>
    <row r="133" spans="1:15" x14ac:dyDescent="0.35">
      <c r="A133">
        <v>2873212765</v>
      </c>
      <c r="B133" s="1">
        <v>42469</v>
      </c>
      <c r="C133">
        <v>14103</v>
      </c>
      <c r="D133">
        <v>9.5600004196166992</v>
      </c>
      <c r="E133">
        <v>9.5600004196166992</v>
      </c>
      <c r="F133">
        <v>0</v>
      </c>
      <c r="G133">
        <v>3.0199999809265101</v>
      </c>
      <c r="H133">
        <v>0.40999999642372098</v>
      </c>
      <c r="I133">
        <v>6.1399998664856001</v>
      </c>
      <c r="J133">
        <v>9.9999997764825804E-3</v>
      </c>
      <c r="K133">
        <v>46</v>
      </c>
      <c r="L133">
        <v>8</v>
      </c>
      <c r="M133">
        <v>288</v>
      </c>
      <c r="N133">
        <v>1098</v>
      </c>
      <c r="O133">
        <v>2257</v>
      </c>
    </row>
    <row r="134" spans="1:15" x14ac:dyDescent="0.35">
      <c r="A134">
        <v>2873212765</v>
      </c>
      <c r="B134" s="1">
        <v>42470</v>
      </c>
      <c r="C134">
        <v>5290</v>
      </c>
      <c r="D134">
        <v>3.5499999523162802</v>
      </c>
      <c r="E134">
        <v>3.5499999523162802</v>
      </c>
      <c r="F134">
        <v>0</v>
      </c>
      <c r="G134">
        <v>3.9999999105930301E-2</v>
      </c>
      <c r="H134">
        <v>0.34000000357627902</v>
      </c>
      <c r="I134">
        <v>3.1700000762939502</v>
      </c>
      <c r="J134">
        <v>0</v>
      </c>
      <c r="K134">
        <v>1</v>
      </c>
      <c r="L134">
        <v>8</v>
      </c>
      <c r="M134">
        <v>251</v>
      </c>
      <c r="N134">
        <v>1180</v>
      </c>
      <c r="O134">
        <v>1724</v>
      </c>
    </row>
    <row r="135" spans="1:15" x14ac:dyDescent="0.35">
      <c r="A135">
        <v>2873212765</v>
      </c>
      <c r="B135" s="1">
        <v>42471</v>
      </c>
      <c r="C135">
        <v>7497</v>
      </c>
      <c r="D135">
        <v>5.03999996185303</v>
      </c>
      <c r="E135">
        <v>5.03999996185303</v>
      </c>
      <c r="F135">
        <v>0</v>
      </c>
      <c r="G135">
        <v>0</v>
      </c>
      <c r="H135">
        <v>0</v>
      </c>
      <c r="I135">
        <v>5.03999996185303</v>
      </c>
      <c r="J135">
        <v>0</v>
      </c>
      <c r="K135">
        <v>0</v>
      </c>
      <c r="L135">
        <v>0</v>
      </c>
      <c r="M135">
        <v>357</v>
      </c>
      <c r="N135">
        <v>882</v>
      </c>
      <c r="O135">
        <v>1741</v>
      </c>
    </row>
    <row r="136" spans="1:15" x14ac:dyDescent="0.35">
      <c r="A136">
        <v>2873212765</v>
      </c>
      <c r="B136" s="1">
        <v>42472</v>
      </c>
      <c r="C136">
        <v>0</v>
      </c>
      <c r="D136">
        <v>0</v>
      </c>
      <c r="E136">
        <v>0</v>
      </c>
      <c r="F136">
        <v>0</v>
      </c>
      <c r="G136">
        <v>0</v>
      </c>
      <c r="H136">
        <v>0</v>
      </c>
      <c r="I136">
        <v>0</v>
      </c>
      <c r="J136">
        <v>0</v>
      </c>
      <c r="K136">
        <v>0</v>
      </c>
      <c r="L136">
        <v>0</v>
      </c>
      <c r="M136">
        <v>0</v>
      </c>
      <c r="N136">
        <v>1440</v>
      </c>
      <c r="O136">
        <v>0</v>
      </c>
    </row>
    <row r="137" spans="1:15" x14ac:dyDescent="0.35">
      <c r="A137">
        <v>2891001357</v>
      </c>
      <c r="B137" s="1">
        <v>42458</v>
      </c>
      <c r="C137">
        <v>0</v>
      </c>
      <c r="D137">
        <v>0</v>
      </c>
      <c r="E137">
        <v>0</v>
      </c>
      <c r="F137">
        <v>0</v>
      </c>
      <c r="G137">
        <v>0</v>
      </c>
      <c r="H137">
        <v>0</v>
      </c>
      <c r="I137">
        <v>0</v>
      </c>
      <c r="J137">
        <v>0</v>
      </c>
      <c r="K137">
        <v>0</v>
      </c>
      <c r="L137">
        <v>0</v>
      </c>
      <c r="M137">
        <v>0</v>
      </c>
      <c r="N137">
        <v>1440</v>
      </c>
      <c r="O137">
        <v>1920</v>
      </c>
    </row>
    <row r="138" spans="1:15" x14ac:dyDescent="0.35">
      <c r="A138">
        <v>2891001357</v>
      </c>
      <c r="B138" s="1">
        <v>42459</v>
      </c>
      <c r="C138">
        <v>0</v>
      </c>
      <c r="D138">
        <v>0</v>
      </c>
      <c r="E138">
        <v>0</v>
      </c>
      <c r="F138">
        <v>0</v>
      </c>
      <c r="G138">
        <v>0</v>
      </c>
      <c r="H138">
        <v>0</v>
      </c>
      <c r="I138">
        <v>0</v>
      </c>
      <c r="J138">
        <v>0</v>
      </c>
      <c r="K138">
        <v>0</v>
      </c>
      <c r="L138">
        <v>0</v>
      </c>
      <c r="M138">
        <v>0</v>
      </c>
      <c r="N138">
        <v>1440</v>
      </c>
      <c r="O138">
        <v>1920</v>
      </c>
    </row>
    <row r="139" spans="1:15" x14ac:dyDescent="0.35">
      <c r="A139">
        <v>2891001357</v>
      </c>
      <c r="B139" s="1">
        <v>42460</v>
      </c>
      <c r="C139">
        <v>0</v>
      </c>
      <c r="D139">
        <v>0</v>
      </c>
      <c r="E139">
        <v>0</v>
      </c>
      <c r="F139">
        <v>0</v>
      </c>
      <c r="G139">
        <v>0</v>
      </c>
      <c r="H139">
        <v>0</v>
      </c>
      <c r="I139">
        <v>0</v>
      </c>
      <c r="J139">
        <v>0</v>
      </c>
      <c r="K139">
        <v>0</v>
      </c>
      <c r="L139">
        <v>0</v>
      </c>
      <c r="M139">
        <v>0</v>
      </c>
      <c r="N139">
        <v>1440</v>
      </c>
      <c r="O139">
        <v>1920</v>
      </c>
    </row>
    <row r="140" spans="1:15" x14ac:dyDescent="0.35">
      <c r="A140">
        <v>2891001357</v>
      </c>
      <c r="B140" s="1">
        <v>42461</v>
      </c>
      <c r="C140">
        <v>0</v>
      </c>
      <c r="D140">
        <v>0</v>
      </c>
      <c r="E140">
        <v>0</v>
      </c>
      <c r="F140">
        <v>4.8280320167541504</v>
      </c>
      <c r="G140">
        <v>0</v>
      </c>
      <c r="H140">
        <v>0</v>
      </c>
      <c r="I140">
        <v>0</v>
      </c>
      <c r="J140">
        <v>0</v>
      </c>
      <c r="K140">
        <v>0</v>
      </c>
      <c r="L140">
        <v>660</v>
      </c>
      <c r="M140">
        <v>0</v>
      </c>
      <c r="N140">
        <v>780</v>
      </c>
      <c r="O140">
        <v>4562</v>
      </c>
    </row>
    <row r="141" spans="1:15" x14ac:dyDescent="0.35">
      <c r="A141">
        <v>2891001357</v>
      </c>
      <c r="B141" s="1">
        <v>42462</v>
      </c>
      <c r="C141">
        <v>4126</v>
      </c>
      <c r="D141">
        <v>3.2200000286102299</v>
      </c>
      <c r="E141">
        <v>0</v>
      </c>
      <c r="F141">
        <v>3.21868801116943</v>
      </c>
      <c r="G141">
        <v>0</v>
      </c>
      <c r="H141">
        <v>0</v>
      </c>
      <c r="I141">
        <v>3.2200000286102299</v>
      </c>
      <c r="J141">
        <v>0</v>
      </c>
      <c r="K141">
        <v>0</v>
      </c>
      <c r="L141">
        <v>0</v>
      </c>
      <c r="M141">
        <v>720</v>
      </c>
      <c r="N141">
        <v>720</v>
      </c>
      <c r="O141">
        <v>2881</v>
      </c>
    </row>
    <row r="142" spans="1:15" x14ac:dyDescent="0.35">
      <c r="A142">
        <v>2891001357</v>
      </c>
      <c r="B142" s="1">
        <v>42463</v>
      </c>
      <c r="C142">
        <v>0</v>
      </c>
      <c r="D142">
        <v>0</v>
      </c>
      <c r="E142">
        <v>0</v>
      </c>
      <c r="F142">
        <v>0</v>
      </c>
      <c r="G142">
        <v>0</v>
      </c>
      <c r="H142">
        <v>0</v>
      </c>
      <c r="I142">
        <v>0</v>
      </c>
      <c r="J142">
        <v>0</v>
      </c>
      <c r="K142">
        <v>0</v>
      </c>
      <c r="L142">
        <v>0</v>
      </c>
      <c r="M142">
        <v>0</v>
      </c>
      <c r="N142">
        <v>1440</v>
      </c>
      <c r="O142">
        <v>1920</v>
      </c>
    </row>
    <row r="143" spans="1:15" x14ac:dyDescent="0.35">
      <c r="A143">
        <v>2891001357</v>
      </c>
      <c r="B143" s="1">
        <v>42464</v>
      </c>
      <c r="C143">
        <v>0</v>
      </c>
      <c r="D143">
        <v>0</v>
      </c>
      <c r="E143">
        <v>0</v>
      </c>
      <c r="F143">
        <v>0</v>
      </c>
      <c r="G143">
        <v>0</v>
      </c>
      <c r="H143">
        <v>0</v>
      </c>
      <c r="I143">
        <v>0</v>
      </c>
      <c r="J143">
        <v>0</v>
      </c>
      <c r="K143">
        <v>0</v>
      </c>
      <c r="L143">
        <v>0</v>
      </c>
      <c r="M143">
        <v>0</v>
      </c>
      <c r="N143">
        <v>1440</v>
      </c>
      <c r="O143">
        <v>1920</v>
      </c>
    </row>
    <row r="144" spans="1:15" x14ac:dyDescent="0.35">
      <c r="A144">
        <v>2891001357</v>
      </c>
      <c r="B144" s="1">
        <v>42465</v>
      </c>
      <c r="C144">
        <v>2063</v>
      </c>
      <c r="D144">
        <v>1.6100000143051101</v>
      </c>
      <c r="E144">
        <v>0</v>
      </c>
      <c r="F144">
        <v>1.6093440055847199</v>
      </c>
      <c r="G144">
        <v>0</v>
      </c>
      <c r="H144">
        <v>0</v>
      </c>
      <c r="I144">
        <v>1.6100000143051101</v>
      </c>
      <c r="J144">
        <v>0</v>
      </c>
      <c r="K144">
        <v>0</v>
      </c>
      <c r="L144">
        <v>0</v>
      </c>
      <c r="M144">
        <v>630</v>
      </c>
      <c r="N144">
        <v>99</v>
      </c>
      <c r="O144">
        <v>1144</v>
      </c>
    </row>
    <row r="145" spans="1:15" x14ac:dyDescent="0.35">
      <c r="A145">
        <v>3372868164</v>
      </c>
      <c r="B145" s="1">
        <v>42461</v>
      </c>
      <c r="C145">
        <v>5785</v>
      </c>
      <c r="D145">
        <v>3.9500000476837198</v>
      </c>
      <c r="E145">
        <v>3.9500000476837198</v>
      </c>
      <c r="F145">
        <v>0</v>
      </c>
      <c r="G145">
        <v>0</v>
      </c>
      <c r="H145">
        <v>0</v>
      </c>
      <c r="I145">
        <v>3.9100000858306898</v>
      </c>
      <c r="J145">
        <v>3.9999999105930301E-2</v>
      </c>
      <c r="K145">
        <v>0</v>
      </c>
      <c r="L145">
        <v>0</v>
      </c>
      <c r="M145">
        <v>311</v>
      </c>
      <c r="N145">
        <v>1129</v>
      </c>
      <c r="O145">
        <v>1852</v>
      </c>
    </row>
    <row r="146" spans="1:15" x14ac:dyDescent="0.35">
      <c r="A146">
        <v>3372868164</v>
      </c>
      <c r="B146" s="1">
        <v>42462</v>
      </c>
      <c r="C146">
        <v>7625</v>
      </c>
      <c r="D146">
        <v>5.2300000190734899</v>
      </c>
      <c r="E146">
        <v>5.2300000190734899</v>
      </c>
      <c r="F146">
        <v>0</v>
      </c>
      <c r="G146">
        <v>1.6799999475479099</v>
      </c>
      <c r="H146">
        <v>3.9999999105930301E-2</v>
      </c>
      <c r="I146">
        <v>3.5</v>
      </c>
      <c r="J146">
        <v>9.9999997764825804E-3</v>
      </c>
      <c r="K146">
        <v>24</v>
      </c>
      <c r="L146">
        <v>1</v>
      </c>
      <c r="M146">
        <v>341</v>
      </c>
      <c r="N146">
        <v>1074</v>
      </c>
      <c r="O146">
        <v>2069</v>
      </c>
    </row>
    <row r="147" spans="1:15" x14ac:dyDescent="0.35">
      <c r="A147">
        <v>3372868164</v>
      </c>
      <c r="B147" s="1">
        <v>42463</v>
      </c>
      <c r="C147">
        <v>4706</v>
      </c>
      <c r="D147">
        <v>3.21000003814697</v>
      </c>
      <c r="E147">
        <v>3.21000003814697</v>
      </c>
      <c r="F147">
        <v>0</v>
      </c>
      <c r="G147">
        <v>0</v>
      </c>
      <c r="H147">
        <v>0</v>
      </c>
      <c r="I147">
        <v>3.21000003814697</v>
      </c>
      <c r="J147">
        <v>0</v>
      </c>
      <c r="K147">
        <v>0</v>
      </c>
      <c r="L147">
        <v>0</v>
      </c>
      <c r="M147">
        <v>299</v>
      </c>
      <c r="N147">
        <v>1141</v>
      </c>
      <c r="O147">
        <v>1816</v>
      </c>
    </row>
    <row r="148" spans="1:15" x14ac:dyDescent="0.35">
      <c r="A148">
        <v>3372868164</v>
      </c>
      <c r="B148" s="1">
        <v>42464</v>
      </c>
      <c r="C148">
        <v>5861</v>
      </c>
      <c r="D148">
        <v>4.0199999809265101</v>
      </c>
      <c r="E148">
        <v>4.0199999809265101</v>
      </c>
      <c r="F148">
        <v>0</v>
      </c>
      <c r="G148">
        <v>1.29999995231628</v>
      </c>
      <c r="H148">
        <v>0.21999999880790699</v>
      </c>
      <c r="I148">
        <v>2.4900000095367401</v>
      </c>
      <c r="J148">
        <v>9.9999997764825804E-3</v>
      </c>
      <c r="K148">
        <v>20</v>
      </c>
      <c r="L148">
        <v>7</v>
      </c>
      <c r="M148">
        <v>233</v>
      </c>
      <c r="N148">
        <v>1180</v>
      </c>
      <c r="O148">
        <v>1878</v>
      </c>
    </row>
    <row r="149" spans="1:15" x14ac:dyDescent="0.35">
      <c r="A149">
        <v>3372868164</v>
      </c>
      <c r="B149" s="1">
        <v>42465</v>
      </c>
      <c r="C149">
        <v>4460</v>
      </c>
      <c r="D149">
        <v>3.03999996185303</v>
      </c>
      <c r="E149">
        <v>3.03999996185303</v>
      </c>
      <c r="F149">
        <v>0</v>
      </c>
      <c r="G149">
        <v>0</v>
      </c>
      <c r="H149">
        <v>0</v>
      </c>
      <c r="I149">
        <v>3.0199999809265101</v>
      </c>
      <c r="J149">
        <v>2.9999999329447701E-2</v>
      </c>
      <c r="K149">
        <v>0</v>
      </c>
      <c r="L149">
        <v>0</v>
      </c>
      <c r="M149">
        <v>248</v>
      </c>
      <c r="N149">
        <v>1192</v>
      </c>
      <c r="O149">
        <v>1787</v>
      </c>
    </row>
    <row r="150" spans="1:15" x14ac:dyDescent="0.35">
      <c r="A150">
        <v>3372868164</v>
      </c>
      <c r="B150" s="1">
        <v>42466</v>
      </c>
      <c r="C150">
        <v>6406</v>
      </c>
      <c r="D150">
        <v>4.3899998664856001</v>
      </c>
      <c r="E150">
        <v>4.3899998664856001</v>
      </c>
      <c r="F150">
        <v>0</v>
      </c>
      <c r="G150">
        <v>0.77999997138977095</v>
      </c>
      <c r="H150">
        <v>9.00000035762787E-2</v>
      </c>
      <c r="I150">
        <v>3.5199999809265101</v>
      </c>
      <c r="J150">
        <v>9.9999997764825804E-3</v>
      </c>
      <c r="K150">
        <v>17</v>
      </c>
      <c r="L150">
        <v>4</v>
      </c>
      <c r="M150">
        <v>325</v>
      </c>
      <c r="N150">
        <v>1094</v>
      </c>
      <c r="O150">
        <v>2010</v>
      </c>
    </row>
    <row r="151" spans="1:15" x14ac:dyDescent="0.35">
      <c r="A151">
        <v>3372868164</v>
      </c>
      <c r="B151" s="1">
        <v>42467</v>
      </c>
      <c r="C151">
        <v>7392</v>
      </c>
      <c r="D151">
        <v>5.0999999046325701</v>
      </c>
      <c r="E151">
        <v>5.0999999046325701</v>
      </c>
      <c r="F151">
        <v>0</v>
      </c>
      <c r="G151">
        <v>0.87000000476837203</v>
      </c>
      <c r="H151">
        <v>0.15999999642372101</v>
      </c>
      <c r="I151">
        <v>4.0500001907348597</v>
      </c>
      <c r="J151">
        <v>1.9999999552965199E-2</v>
      </c>
      <c r="K151">
        <v>14</v>
      </c>
      <c r="L151">
        <v>9</v>
      </c>
      <c r="M151">
        <v>332</v>
      </c>
      <c r="N151">
        <v>1085</v>
      </c>
      <c r="O151">
        <v>2038</v>
      </c>
    </row>
    <row r="152" spans="1:15" x14ac:dyDescent="0.35">
      <c r="A152">
        <v>3372868164</v>
      </c>
      <c r="B152" s="1">
        <v>42468</v>
      </c>
      <c r="C152">
        <v>5551</v>
      </c>
      <c r="D152">
        <v>3.78999996185303</v>
      </c>
      <c r="E152">
        <v>3.78999996185303</v>
      </c>
      <c r="F152">
        <v>0</v>
      </c>
      <c r="G152">
        <v>0</v>
      </c>
      <c r="H152">
        <v>0</v>
      </c>
      <c r="I152">
        <v>3.7699999809265101</v>
      </c>
      <c r="J152">
        <v>9.9999997764825804E-3</v>
      </c>
      <c r="K152">
        <v>0</v>
      </c>
      <c r="L152">
        <v>0</v>
      </c>
      <c r="M152">
        <v>282</v>
      </c>
      <c r="N152">
        <v>1158</v>
      </c>
      <c r="O152">
        <v>1815</v>
      </c>
    </row>
    <row r="153" spans="1:15" x14ac:dyDescent="0.35">
      <c r="A153">
        <v>3372868164</v>
      </c>
      <c r="B153" s="1">
        <v>42469</v>
      </c>
      <c r="C153">
        <v>8827</v>
      </c>
      <c r="D153">
        <v>6.25</v>
      </c>
      <c r="E153">
        <v>6.25</v>
      </c>
      <c r="F153">
        <v>0</v>
      </c>
      <c r="G153">
        <v>1.7699999809265099</v>
      </c>
      <c r="H153">
        <v>0.479999989271164</v>
      </c>
      <c r="I153">
        <v>4</v>
      </c>
      <c r="J153">
        <v>9.9999997764825804E-3</v>
      </c>
      <c r="K153">
        <v>21</v>
      </c>
      <c r="L153">
        <v>10</v>
      </c>
      <c r="M153">
        <v>346</v>
      </c>
      <c r="N153">
        <v>1063</v>
      </c>
      <c r="O153">
        <v>2062</v>
      </c>
    </row>
    <row r="154" spans="1:15" x14ac:dyDescent="0.35">
      <c r="A154">
        <v>3372868164</v>
      </c>
      <c r="B154" s="1">
        <v>42470</v>
      </c>
      <c r="C154">
        <v>4662</v>
      </c>
      <c r="D154">
        <v>3.1800000667571999</v>
      </c>
      <c r="E154">
        <v>3.1800000667571999</v>
      </c>
      <c r="F154">
        <v>0</v>
      </c>
      <c r="G154">
        <v>1.03999996185303</v>
      </c>
      <c r="H154">
        <v>0.15000000596046401</v>
      </c>
      <c r="I154">
        <v>1.9900000095367401</v>
      </c>
      <c r="J154">
        <v>0</v>
      </c>
      <c r="K154">
        <v>22</v>
      </c>
      <c r="L154">
        <v>4</v>
      </c>
      <c r="M154">
        <v>152</v>
      </c>
      <c r="N154">
        <v>735</v>
      </c>
      <c r="O154">
        <v>1276</v>
      </c>
    </row>
    <row r="155" spans="1:15" x14ac:dyDescent="0.35">
      <c r="A155">
        <v>3977333714</v>
      </c>
      <c r="B155" s="1">
        <v>42461</v>
      </c>
      <c r="C155">
        <v>4499</v>
      </c>
      <c r="D155">
        <v>3.0099999904632599</v>
      </c>
      <c r="E155">
        <v>3.0099999904632599</v>
      </c>
      <c r="F155">
        <v>0</v>
      </c>
      <c r="G155">
        <v>0</v>
      </c>
      <c r="H155">
        <v>0</v>
      </c>
      <c r="I155">
        <v>3.0099999904632599</v>
      </c>
      <c r="J155">
        <v>0</v>
      </c>
      <c r="K155">
        <v>0</v>
      </c>
      <c r="L155">
        <v>0</v>
      </c>
      <c r="M155">
        <v>168</v>
      </c>
      <c r="N155">
        <v>842</v>
      </c>
      <c r="O155">
        <v>1288</v>
      </c>
    </row>
    <row r="156" spans="1:15" x14ac:dyDescent="0.35">
      <c r="A156">
        <v>3977333714</v>
      </c>
      <c r="B156" s="1">
        <v>42462</v>
      </c>
      <c r="C156">
        <v>7618</v>
      </c>
      <c r="D156">
        <v>5.0999999046325701</v>
      </c>
      <c r="E156">
        <v>5.0999999046325701</v>
      </c>
      <c r="F156">
        <v>0</v>
      </c>
      <c r="G156">
        <v>0</v>
      </c>
      <c r="H156">
        <v>0.18000000715255701</v>
      </c>
      <c r="I156">
        <v>4.9099998474121103</v>
      </c>
      <c r="J156">
        <v>0</v>
      </c>
      <c r="K156">
        <v>0</v>
      </c>
      <c r="L156">
        <v>6</v>
      </c>
      <c r="M156">
        <v>302</v>
      </c>
      <c r="N156">
        <v>842</v>
      </c>
      <c r="O156">
        <v>1490</v>
      </c>
    </row>
    <row r="157" spans="1:15" x14ac:dyDescent="0.35">
      <c r="A157">
        <v>3977333714</v>
      </c>
      <c r="B157" s="1">
        <v>42463</v>
      </c>
      <c r="C157">
        <v>11508</v>
      </c>
      <c r="D157">
        <v>7.6999998092651403</v>
      </c>
      <c r="E157">
        <v>7.6999998092651403</v>
      </c>
      <c r="F157">
        <v>0</v>
      </c>
      <c r="G157">
        <v>2.1700000762939502</v>
      </c>
      <c r="H157">
        <v>0.83999997377395597</v>
      </c>
      <c r="I157">
        <v>4.6900000572204599</v>
      </c>
      <c r="J157">
        <v>0</v>
      </c>
      <c r="K157">
        <v>29</v>
      </c>
      <c r="L157">
        <v>22</v>
      </c>
      <c r="M157">
        <v>282</v>
      </c>
      <c r="N157">
        <v>748</v>
      </c>
      <c r="O157">
        <v>1630</v>
      </c>
    </row>
    <row r="158" spans="1:15" x14ac:dyDescent="0.35">
      <c r="A158">
        <v>3977333714</v>
      </c>
      <c r="B158" s="1">
        <v>42464</v>
      </c>
      <c r="C158">
        <v>11943</v>
      </c>
      <c r="D158">
        <v>7.9899997711181596</v>
      </c>
      <c r="E158">
        <v>7.9899997711181596</v>
      </c>
      <c r="F158">
        <v>0</v>
      </c>
      <c r="G158">
        <v>1.0299999713897701</v>
      </c>
      <c r="H158">
        <v>2.0099999904632599</v>
      </c>
      <c r="I158">
        <v>4.9499998092651403</v>
      </c>
      <c r="J158">
        <v>0</v>
      </c>
      <c r="K158">
        <v>16</v>
      </c>
      <c r="L158">
        <v>43</v>
      </c>
      <c r="M158">
        <v>297</v>
      </c>
      <c r="N158">
        <v>710</v>
      </c>
      <c r="O158">
        <v>1648</v>
      </c>
    </row>
    <row r="159" spans="1:15" x14ac:dyDescent="0.35">
      <c r="A159">
        <v>3977333714</v>
      </c>
      <c r="B159" s="1">
        <v>42465</v>
      </c>
      <c r="C159">
        <v>12303</v>
      </c>
      <c r="D159">
        <v>8.2299995422363299</v>
      </c>
      <c r="E159">
        <v>8.2299995422363299</v>
      </c>
      <c r="F159">
        <v>0</v>
      </c>
      <c r="G159">
        <v>1.71000003814697</v>
      </c>
      <c r="H159">
        <v>1.3500000238418599</v>
      </c>
      <c r="I159">
        <v>5.1700000762939498</v>
      </c>
      <c r="J159">
        <v>0</v>
      </c>
      <c r="K159">
        <v>26</v>
      </c>
      <c r="L159">
        <v>32</v>
      </c>
      <c r="M159">
        <v>291</v>
      </c>
      <c r="N159">
        <v>605</v>
      </c>
      <c r="O159">
        <v>1649</v>
      </c>
    </row>
    <row r="160" spans="1:15" x14ac:dyDescent="0.35">
      <c r="A160">
        <v>3977333714</v>
      </c>
      <c r="B160" s="1">
        <v>42466</v>
      </c>
      <c r="C160">
        <v>15425</v>
      </c>
      <c r="D160">
        <v>10.319999694824199</v>
      </c>
      <c r="E160">
        <v>10.319999694824199</v>
      </c>
      <c r="F160">
        <v>0</v>
      </c>
      <c r="G160">
        <v>1.62000000476837</v>
      </c>
      <c r="H160">
        <v>1.8200000524520901</v>
      </c>
      <c r="I160">
        <v>6.8699998855590803</v>
      </c>
      <c r="J160">
        <v>0</v>
      </c>
      <c r="K160">
        <v>24</v>
      </c>
      <c r="L160">
        <v>45</v>
      </c>
      <c r="M160">
        <v>331</v>
      </c>
      <c r="N160">
        <v>614</v>
      </c>
      <c r="O160">
        <v>1783</v>
      </c>
    </row>
    <row r="161" spans="1:15" x14ac:dyDescent="0.35">
      <c r="A161">
        <v>3977333714</v>
      </c>
      <c r="B161" s="1">
        <v>42467</v>
      </c>
      <c r="C161">
        <v>8422</v>
      </c>
      <c r="D161">
        <v>5.6300001144409197</v>
      </c>
      <c r="E161">
        <v>5.6300001144409197</v>
      </c>
      <c r="F161">
        <v>0</v>
      </c>
      <c r="G161">
        <v>0</v>
      </c>
      <c r="H161">
        <v>3.5999999046325701</v>
      </c>
      <c r="I161">
        <v>2.03999996185303</v>
      </c>
      <c r="J161">
        <v>0</v>
      </c>
      <c r="K161">
        <v>0</v>
      </c>
      <c r="L161">
        <v>81</v>
      </c>
      <c r="M161">
        <v>139</v>
      </c>
      <c r="N161">
        <v>815</v>
      </c>
      <c r="O161">
        <v>1431</v>
      </c>
    </row>
    <row r="162" spans="1:15" x14ac:dyDescent="0.35">
      <c r="A162">
        <v>3977333714</v>
      </c>
      <c r="B162" s="1">
        <v>42468</v>
      </c>
      <c r="C162">
        <v>10226</v>
      </c>
      <c r="D162">
        <v>6.8400001525878897</v>
      </c>
      <c r="E162">
        <v>6.8400001525878897</v>
      </c>
      <c r="F162">
        <v>0</v>
      </c>
      <c r="G162">
        <v>0</v>
      </c>
      <c r="H162">
        <v>4.4400000572204599</v>
      </c>
      <c r="I162">
        <v>2.4000000953674299</v>
      </c>
      <c r="J162">
        <v>0</v>
      </c>
      <c r="K162">
        <v>0</v>
      </c>
      <c r="L162">
        <v>101</v>
      </c>
      <c r="M162">
        <v>174</v>
      </c>
      <c r="N162">
        <v>685</v>
      </c>
      <c r="O162">
        <v>1524</v>
      </c>
    </row>
    <row r="163" spans="1:15" x14ac:dyDescent="0.35">
      <c r="A163">
        <v>3977333714</v>
      </c>
      <c r="B163" s="1">
        <v>42469</v>
      </c>
      <c r="C163">
        <v>14583</v>
      </c>
      <c r="D163">
        <v>9.7600002288818395</v>
      </c>
      <c r="E163">
        <v>9.7600002288818395</v>
      </c>
      <c r="F163">
        <v>0</v>
      </c>
      <c r="G163">
        <v>2.4800000190734899</v>
      </c>
      <c r="H163">
        <v>1.7400000095367401</v>
      </c>
      <c r="I163">
        <v>5.5300002098083496</v>
      </c>
      <c r="J163">
        <v>0</v>
      </c>
      <c r="K163">
        <v>35</v>
      </c>
      <c r="L163">
        <v>36</v>
      </c>
      <c r="M163">
        <v>254</v>
      </c>
      <c r="N163">
        <v>697</v>
      </c>
      <c r="O163">
        <v>1697</v>
      </c>
    </row>
    <row r="164" spans="1:15" x14ac:dyDescent="0.35">
      <c r="A164">
        <v>3977333714</v>
      </c>
      <c r="B164" s="1">
        <v>42470</v>
      </c>
      <c r="C164">
        <v>3573</v>
      </c>
      <c r="D164">
        <v>2.3900001049041699</v>
      </c>
      <c r="E164">
        <v>2.3900001049041699</v>
      </c>
      <c r="F164">
        <v>0</v>
      </c>
      <c r="G164">
        <v>0.93999999761581399</v>
      </c>
      <c r="H164">
        <v>0.40999999642372098</v>
      </c>
      <c r="I164">
        <v>0.97000002861022905</v>
      </c>
      <c r="J164">
        <v>0</v>
      </c>
      <c r="K164">
        <v>15</v>
      </c>
      <c r="L164">
        <v>8</v>
      </c>
      <c r="M164">
        <v>99</v>
      </c>
      <c r="N164">
        <v>866</v>
      </c>
      <c r="O164">
        <v>1232</v>
      </c>
    </row>
    <row r="165" spans="1:15" x14ac:dyDescent="0.35">
      <c r="A165">
        <v>3977333714</v>
      </c>
      <c r="B165" s="1">
        <v>42471</v>
      </c>
      <c r="C165">
        <v>3108</v>
      </c>
      <c r="D165">
        <v>2.1400001049041699</v>
      </c>
      <c r="E165">
        <v>2.1400001049041699</v>
      </c>
      <c r="F165">
        <v>0</v>
      </c>
      <c r="G165">
        <v>7.0000000298023196E-2</v>
      </c>
      <c r="H165">
        <v>3.9999999105930301E-2</v>
      </c>
      <c r="I165">
        <v>1.96000003814697</v>
      </c>
      <c r="J165">
        <v>0</v>
      </c>
      <c r="K165">
        <v>1</v>
      </c>
      <c r="L165">
        <v>1</v>
      </c>
      <c r="M165">
        <v>129</v>
      </c>
      <c r="N165">
        <v>894</v>
      </c>
      <c r="O165">
        <v>1223</v>
      </c>
    </row>
    <row r="166" spans="1:15" x14ac:dyDescent="0.35">
      <c r="A166">
        <v>3977333714</v>
      </c>
      <c r="B166" s="1">
        <v>42472</v>
      </c>
      <c r="C166">
        <v>759</v>
      </c>
      <c r="D166">
        <v>0.56999999284744296</v>
      </c>
      <c r="E166">
        <v>0.56999999284744296</v>
      </c>
      <c r="F166">
        <v>0</v>
      </c>
      <c r="G166">
        <v>0</v>
      </c>
      <c r="H166">
        <v>0</v>
      </c>
      <c r="I166">
        <v>0.56999999284744296</v>
      </c>
      <c r="J166">
        <v>0</v>
      </c>
      <c r="K166">
        <v>0</v>
      </c>
      <c r="L166">
        <v>0</v>
      </c>
      <c r="M166">
        <v>17</v>
      </c>
      <c r="N166">
        <v>187</v>
      </c>
      <c r="O166">
        <v>182</v>
      </c>
    </row>
    <row r="167" spans="1:15" x14ac:dyDescent="0.35">
      <c r="A167">
        <v>4020332650</v>
      </c>
      <c r="B167" s="1">
        <v>42441</v>
      </c>
      <c r="C167">
        <v>5543</v>
      </c>
      <c r="D167">
        <v>3.9700000286102299</v>
      </c>
      <c r="E167">
        <v>3.9700000286102299</v>
      </c>
      <c r="F167">
        <v>0</v>
      </c>
      <c r="G167">
        <v>0</v>
      </c>
      <c r="H167">
        <v>0</v>
      </c>
      <c r="I167">
        <v>3.96000003814697</v>
      </c>
      <c r="J167">
        <v>9.9999997764825804E-3</v>
      </c>
      <c r="K167">
        <v>0</v>
      </c>
      <c r="L167">
        <v>0</v>
      </c>
      <c r="M167">
        <v>254</v>
      </c>
      <c r="N167">
        <v>757</v>
      </c>
      <c r="O167">
        <v>2990</v>
      </c>
    </row>
    <row r="168" spans="1:15" x14ac:dyDescent="0.35">
      <c r="A168">
        <v>4020332650</v>
      </c>
      <c r="B168" s="1">
        <v>42442</v>
      </c>
      <c r="C168">
        <v>3226</v>
      </c>
      <c r="D168">
        <v>2.3099999427795401</v>
      </c>
      <c r="E168">
        <v>2.3099999427795401</v>
      </c>
      <c r="F168">
        <v>0</v>
      </c>
      <c r="G168">
        <v>0</v>
      </c>
      <c r="H168">
        <v>0</v>
      </c>
      <c r="I168">
        <v>2.2799999713897701</v>
      </c>
      <c r="J168">
        <v>0</v>
      </c>
      <c r="K168">
        <v>0</v>
      </c>
      <c r="L168">
        <v>0</v>
      </c>
      <c r="M168">
        <v>136</v>
      </c>
      <c r="N168">
        <v>771</v>
      </c>
      <c r="O168">
        <v>2480</v>
      </c>
    </row>
    <row r="169" spans="1:15" x14ac:dyDescent="0.35">
      <c r="A169">
        <v>4020332650</v>
      </c>
      <c r="B169" s="1">
        <v>42443</v>
      </c>
      <c r="C169">
        <v>3023</v>
      </c>
      <c r="D169">
        <v>2.1700000762939502</v>
      </c>
      <c r="E169">
        <v>2.1700000762939502</v>
      </c>
      <c r="F169">
        <v>0</v>
      </c>
      <c r="G169">
        <v>0</v>
      </c>
      <c r="H169">
        <v>0</v>
      </c>
      <c r="I169">
        <v>2.1400001049041699</v>
      </c>
      <c r="J169">
        <v>0</v>
      </c>
      <c r="K169">
        <v>0</v>
      </c>
      <c r="L169">
        <v>0</v>
      </c>
      <c r="M169">
        <v>145</v>
      </c>
      <c r="N169">
        <v>1005</v>
      </c>
      <c r="O169">
        <v>2570</v>
      </c>
    </row>
    <row r="170" spans="1:15" x14ac:dyDescent="0.35">
      <c r="A170">
        <v>4020332650</v>
      </c>
      <c r="B170" s="1">
        <v>42444</v>
      </c>
      <c r="C170">
        <v>5906</v>
      </c>
      <c r="D170">
        <v>4.2300000190734899</v>
      </c>
      <c r="E170">
        <v>4.2300000190734899</v>
      </c>
      <c r="F170">
        <v>0</v>
      </c>
      <c r="G170">
        <v>0</v>
      </c>
      <c r="H170">
        <v>0.15999999642372101</v>
      </c>
      <c r="I170">
        <v>4.03999996185303</v>
      </c>
      <c r="J170">
        <v>0</v>
      </c>
      <c r="K170">
        <v>0</v>
      </c>
      <c r="L170">
        <v>10</v>
      </c>
      <c r="M170">
        <v>215</v>
      </c>
      <c r="N170">
        <v>874</v>
      </c>
      <c r="O170">
        <v>3016</v>
      </c>
    </row>
    <row r="171" spans="1:15" x14ac:dyDescent="0.35">
      <c r="A171">
        <v>4020332650</v>
      </c>
      <c r="B171" s="1">
        <v>42445</v>
      </c>
      <c r="C171">
        <v>12483</v>
      </c>
      <c r="D171">
        <v>8.9899997711181605</v>
      </c>
      <c r="E171">
        <v>8.9899997711181605</v>
      </c>
      <c r="F171">
        <v>0</v>
      </c>
      <c r="G171">
        <v>1.45000004768372</v>
      </c>
      <c r="H171">
        <v>0.56999999284744296</v>
      </c>
      <c r="I171">
        <v>6.9000000953674299</v>
      </c>
      <c r="J171">
        <v>0</v>
      </c>
      <c r="K171">
        <v>25</v>
      </c>
      <c r="L171">
        <v>14</v>
      </c>
      <c r="M171">
        <v>309</v>
      </c>
      <c r="N171">
        <v>599</v>
      </c>
      <c r="O171">
        <v>3830</v>
      </c>
    </row>
    <row r="172" spans="1:15" x14ac:dyDescent="0.35">
      <c r="A172">
        <v>4020332650</v>
      </c>
      <c r="B172" s="1">
        <v>42446</v>
      </c>
      <c r="C172">
        <v>8940</v>
      </c>
      <c r="D172">
        <v>6.4099998474121103</v>
      </c>
      <c r="E172">
        <v>6.4099998474121103</v>
      </c>
      <c r="F172">
        <v>0</v>
      </c>
      <c r="G172">
        <v>0</v>
      </c>
      <c r="H172">
        <v>0</v>
      </c>
      <c r="I172">
        <v>0.61000001430511497</v>
      </c>
      <c r="J172">
        <v>3.9999999105930301E-2</v>
      </c>
      <c r="K172">
        <v>0</v>
      </c>
      <c r="L172">
        <v>0</v>
      </c>
      <c r="M172">
        <v>47</v>
      </c>
      <c r="N172">
        <v>986</v>
      </c>
      <c r="O172">
        <v>3706</v>
      </c>
    </row>
    <row r="173" spans="1:15" x14ac:dyDescent="0.35">
      <c r="A173">
        <v>4020332650</v>
      </c>
      <c r="B173" s="1">
        <v>42447</v>
      </c>
      <c r="C173">
        <v>368</v>
      </c>
      <c r="D173">
        <v>0.259999990463257</v>
      </c>
      <c r="E173">
        <v>0.259999990463257</v>
      </c>
      <c r="F173">
        <v>0</v>
      </c>
      <c r="G173">
        <v>0</v>
      </c>
      <c r="H173">
        <v>0</v>
      </c>
      <c r="I173">
        <v>0</v>
      </c>
      <c r="J173">
        <v>0</v>
      </c>
      <c r="K173">
        <v>0</v>
      </c>
      <c r="L173">
        <v>0</v>
      </c>
      <c r="M173">
        <v>0</v>
      </c>
      <c r="N173">
        <v>1440</v>
      </c>
      <c r="O173">
        <v>2024</v>
      </c>
    </row>
    <row r="174" spans="1:15" x14ac:dyDescent="0.35">
      <c r="A174">
        <v>4020332650</v>
      </c>
      <c r="B174" s="1">
        <v>42448</v>
      </c>
      <c r="C174">
        <v>5702</v>
      </c>
      <c r="D174">
        <v>4.0900001525878897</v>
      </c>
      <c r="E174">
        <v>4.0900001525878897</v>
      </c>
      <c r="F174">
        <v>0</v>
      </c>
      <c r="G174">
        <v>0</v>
      </c>
      <c r="H174">
        <v>0</v>
      </c>
      <c r="I174">
        <v>0</v>
      </c>
      <c r="J174">
        <v>0</v>
      </c>
      <c r="K174">
        <v>0</v>
      </c>
      <c r="L174">
        <v>0</v>
      </c>
      <c r="M174">
        <v>0</v>
      </c>
      <c r="N174">
        <v>1440</v>
      </c>
      <c r="O174">
        <v>2980</v>
      </c>
    </row>
    <row r="175" spans="1:15" x14ac:dyDescent="0.35">
      <c r="A175">
        <v>4020332650</v>
      </c>
      <c r="B175" s="1">
        <v>42449</v>
      </c>
      <c r="C175">
        <v>10330</v>
      </c>
      <c r="D175">
        <v>7.4099998474121103</v>
      </c>
      <c r="E175">
        <v>7.4099998474121103</v>
      </c>
      <c r="F175">
        <v>0</v>
      </c>
      <c r="G175">
        <v>0</v>
      </c>
      <c r="H175">
        <v>0</v>
      </c>
      <c r="I175">
        <v>0</v>
      </c>
      <c r="J175">
        <v>0</v>
      </c>
      <c r="K175">
        <v>0</v>
      </c>
      <c r="L175">
        <v>0</v>
      </c>
      <c r="M175">
        <v>0</v>
      </c>
      <c r="N175">
        <v>1440</v>
      </c>
      <c r="O175">
        <v>3728</v>
      </c>
    </row>
    <row r="176" spans="1:15" x14ac:dyDescent="0.35">
      <c r="A176">
        <v>4020332650</v>
      </c>
      <c r="B176" s="1">
        <v>42450</v>
      </c>
      <c r="C176">
        <v>8778</v>
      </c>
      <c r="D176">
        <v>6.28999996185303</v>
      </c>
      <c r="E176">
        <v>6.28999996185303</v>
      </c>
      <c r="F176">
        <v>0</v>
      </c>
      <c r="G176">
        <v>0</v>
      </c>
      <c r="H176">
        <v>0</v>
      </c>
      <c r="I176">
        <v>0</v>
      </c>
      <c r="J176">
        <v>0</v>
      </c>
      <c r="K176">
        <v>0</v>
      </c>
      <c r="L176">
        <v>0</v>
      </c>
      <c r="M176">
        <v>0</v>
      </c>
      <c r="N176">
        <v>1440</v>
      </c>
      <c r="O176">
        <v>3348</v>
      </c>
    </row>
    <row r="177" spans="1:15" x14ac:dyDescent="0.35">
      <c r="A177">
        <v>4020332650</v>
      </c>
      <c r="B177" s="1">
        <v>42451</v>
      </c>
      <c r="C177">
        <v>6662</v>
      </c>
      <c r="D177">
        <v>4.7800002098083496</v>
      </c>
      <c r="E177">
        <v>4.7800002098083496</v>
      </c>
      <c r="F177">
        <v>0</v>
      </c>
      <c r="G177">
        <v>0</v>
      </c>
      <c r="H177">
        <v>0</v>
      </c>
      <c r="I177">
        <v>0</v>
      </c>
      <c r="J177">
        <v>0</v>
      </c>
      <c r="K177">
        <v>0</v>
      </c>
      <c r="L177">
        <v>0</v>
      </c>
      <c r="M177">
        <v>0</v>
      </c>
      <c r="N177">
        <v>1440</v>
      </c>
      <c r="O177">
        <v>3162</v>
      </c>
    </row>
    <row r="178" spans="1:15" x14ac:dyDescent="0.35">
      <c r="A178">
        <v>4020332650</v>
      </c>
      <c r="B178" s="1">
        <v>42452</v>
      </c>
      <c r="C178">
        <v>6309</v>
      </c>
      <c r="D178">
        <v>4.5199999809265101</v>
      </c>
      <c r="E178">
        <v>4.5199999809265101</v>
      </c>
      <c r="F178">
        <v>0</v>
      </c>
      <c r="G178">
        <v>0</v>
      </c>
      <c r="H178">
        <v>0</v>
      </c>
      <c r="I178">
        <v>0</v>
      </c>
      <c r="J178">
        <v>0</v>
      </c>
      <c r="K178">
        <v>0</v>
      </c>
      <c r="L178">
        <v>0</v>
      </c>
      <c r="M178">
        <v>0</v>
      </c>
      <c r="N178">
        <v>1440</v>
      </c>
      <c r="O178">
        <v>3140</v>
      </c>
    </row>
    <row r="179" spans="1:15" x14ac:dyDescent="0.35">
      <c r="A179">
        <v>4020332650</v>
      </c>
      <c r="B179" s="1">
        <v>42453</v>
      </c>
      <c r="C179">
        <v>1951</v>
      </c>
      <c r="D179">
        <v>1.4099999666214</v>
      </c>
      <c r="E179">
        <v>1.4099999666214</v>
      </c>
      <c r="F179">
        <v>0</v>
      </c>
      <c r="G179">
        <v>0</v>
      </c>
      <c r="H179">
        <v>0</v>
      </c>
      <c r="I179">
        <v>0</v>
      </c>
      <c r="J179">
        <v>0</v>
      </c>
      <c r="K179">
        <v>0</v>
      </c>
      <c r="L179">
        <v>0</v>
      </c>
      <c r="M179">
        <v>0</v>
      </c>
      <c r="N179">
        <v>1440</v>
      </c>
      <c r="O179">
        <v>1980</v>
      </c>
    </row>
    <row r="180" spans="1:15" x14ac:dyDescent="0.35">
      <c r="A180">
        <v>4020332650</v>
      </c>
      <c r="B180" s="1">
        <v>42454</v>
      </c>
      <c r="C180">
        <v>5563</v>
      </c>
      <c r="D180">
        <v>3.9900000095367401</v>
      </c>
      <c r="E180">
        <v>3.9900000095367401</v>
      </c>
      <c r="F180">
        <v>0</v>
      </c>
      <c r="G180">
        <v>0</v>
      </c>
      <c r="H180">
        <v>0</v>
      </c>
      <c r="I180">
        <v>0</v>
      </c>
      <c r="J180">
        <v>0</v>
      </c>
      <c r="K180">
        <v>0</v>
      </c>
      <c r="L180">
        <v>0</v>
      </c>
      <c r="M180">
        <v>0</v>
      </c>
      <c r="N180">
        <v>1440</v>
      </c>
      <c r="O180">
        <v>3681</v>
      </c>
    </row>
    <row r="181" spans="1:15" x14ac:dyDescent="0.35">
      <c r="A181">
        <v>4020332650</v>
      </c>
      <c r="B181" s="1">
        <v>42455</v>
      </c>
      <c r="C181">
        <v>4370</v>
      </c>
      <c r="D181">
        <v>3.1300001144409202</v>
      </c>
      <c r="E181">
        <v>3.1300001144409202</v>
      </c>
      <c r="F181">
        <v>0</v>
      </c>
      <c r="G181">
        <v>0</v>
      </c>
      <c r="H181">
        <v>0</v>
      </c>
      <c r="I181">
        <v>0</v>
      </c>
      <c r="J181">
        <v>0</v>
      </c>
      <c r="K181">
        <v>0</v>
      </c>
      <c r="L181">
        <v>0</v>
      </c>
      <c r="M181">
        <v>0</v>
      </c>
      <c r="N181">
        <v>1440</v>
      </c>
      <c r="O181">
        <v>3444</v>
      </c>
    </row>
    <row r="182" spans="1:15" x14ac:dyDescent="0.35">
      <c r="A182">
        <v>4020332650</v>
      </c>
      <c r="B182" s="1">
        <v>42456</v>
      </c>
      <c r="C182">
        <v>7144</v>
      </c>
      <c r="D182">
        <v>5.1199998855590803</v>
      </c>
      <c r="E182">
        <v>5.1199998855590803</v>
      </c>
      <c r="F182">
        <v>0</v>
      </c>
      <c r="G182">
        <v>0</v>
      </c>
      <c r="H182">
        <v>0</v>
      </c>
      <c r="I182">
        <v>0</v>
      </c>
      <c r="J182">
        <v>0</v>
      </c>
      <c r="K182">
        <v>0</v>
      </c>
      <c r="L182">
        <v>0</v>
      </c>
      <c r="M182">
        <v>0</v>
      </c>
      <c r="N182">
        <v>1440</v>
      </c>
      <c r="O182">
        <v>3510</v>
      </c>
    </row>
    <row r="183" spans="1:15" x14ac:dyDescent="0.35">
      <c r="A183">
        <v>4020332650</v>
      </c>
      <c r="B183" s="1">
        <v>42457</v>
      </c>
      <c r="C183">
        <v>2106</v>
      </c>
      <c r="D183">
        <v>1.5099999904632599</v>
      </c>
      <c r="E183">
        <v>1.5099999904632599</v>
      </c>
      <c r="F183">
        <v>0</v>
      </c>
      <c r="G183">
        <v>1.9999999552965199E-2</v>
      </c>
      <c r="H183">
        <v>5.0000000745058101E-2</v>
      </c>
      <c r="I183">
        <v>0.20999999344348899</v>
      </c>
      <c r="J183">
        <v>0</v>
      </c>
      <c r="K183">
        <v>31</v>
      </c>
      <c r="L183">
        <v>45</v>
      </c>
      <c r="M183">
        <v>75</v>
      </c>
      <c r="N183">
        <v>1289</v>
      </c>
      <c r="O183">
        <v>4010</v>
      </c>
    </row>
    <row r="184" spans="1:15" x14ac:dyDescent="0.35">
      <c r="A184">
        <v>4020332650</v>
      </c>
      <c r="B184" s="1">
        <v>42458</v>
      </c>
      <c r="C184">
        <v>4152</v>
      </c>
      <c r="D184">
        <v>2.9800000190734899</v>
      </c>
      <c r="E184">
        <v>2.9800000190734899</v>
      </c>
      <c r="F184">
        <v>0</v>
      </c>
      <c r="G184">
        <v>0</v>
      </c>
      <c r="H184">
        <v>0</v>
      </c>
      <c r="I184">
        <v>2.96000003814697</v>
      </c>
      <c r="J184">
        <v>0</v>
      </c>
      <c r="K184">
        <v>0</v>
      </c>
      <c r="L184">
        <v>0</v>
      </c>
      <c r="M184">
        <v>187</v>
      </c>
      <c r="N184">
        <v>1253</v>
      </c>
      <c r="O184">
        <v>2976</v>
      </c>
    </row>
    <row r="185" spans="1:15" x14ac:dyDescent="0.35">
      <c r="A185">
        <v>4020332650</v>
      </c>
      <c r="B185" s="1">
        <v>42459</v>
      </c>
      <c r="C185">
        <v>5400</v>
      </c>
      <c r="D185">
        <v>3.8699998855590798</v>
      </c>
      <c r="E185">
        <v>3.8699998855590798</v>
      </c>
      <c r="F185">
        <v>0</v>
      </c>
      <c r="G185">
        <v>0</v>
      </c>
      <c r="H185">
        <v>0</v>
      </c>
      <c r="I185">
        <v>3.8499999046325701</v>
      </c>
      <c r="J185">
        <v>0</v>
      </c>
      <c r="K185">
        <v>0</v>
      </c>
      <c r="L185">
        <v>0</v>
      </c>
      <c r="M185">
        <v>258</v>
      </c>
      <c r="N185">
        <v>795</v>
      </c>
      <c r="O185">
        <v>3418</v>
      </c>
    </row>
    <row r="186" spans="1:15" x14ac:dyDescent="0.35">
      <c r="A186">
        <v>4020332650</v>
      </c>
      <c r="B186" s="1">
        <v>42460</v>
      </c>
      <c r="C186">
        <v>7428</v>
      </c>
      <c r="D186">
        <v>5.3299999237060502</v>
      </c>
      <c r="E186">
        <v>5.3299999237060502</v>
      </c>
      <c r="F186">
        <v>0</v>
      </c>
      <c r="G186">
        <v>0.87000000476837203</v>
      </c>
      <c r="H186">
        <v>0.92000001668930098</v>
      </c>
      <c r="I186">
        <v>3.5099999904632599</v>
      </c>
      <c r="J186">
        <v>0</v>
      </c>
      <c r="K186">
        <v>18</v>
      </c>
      <c r="L186">
        <v>33</v>
      </c>
      <c r="M186">
        <v>261</v>
      </c>
      <c r="N186">
        <v>860</v>
      </c>
      <c r="O186">
        <v>3439</v>
      </c>
    </row>
    <row r="187" spans="1:15" x14ac:dyDescent="0.35">
      <c r="A187">
        <v>4020332650</v>
      </c>
      <c r="B187" s="1">
        <v>42461</v>
      </c>
      <c r="C187">
        <v>5351</v>
      </c>
      <c r="D187">
        <v>3.8399999141693102</v>
      </c>
      <c r="E187">
        <v>3.8399999141693102</v>
      </c>
      <c r="F187">
        <v>0</v>
      </c>
      <c r="G187">
        <v>0.62000000476837203</v>
      </c>
      <c r="H187">
        <v>0.18000000715255701</v>
      </c>
      <c r="I187">
        <v>3.0099999904632599</v>
      </c>
      <c r="J187">
        <v>0</v>
      </c>
      <c r="K187">
        <v>15</v>
      </c>
      <c r="L187">
        <v>17</v>
      </c>
      <c r="M187">
        <v>210</v>
      </c>
      <c r="N187">
        <v>748</v>
      </c>
      <c r="O187">
        <v>3338</v>
      </c>
    </row>
    <row r="188" spans="1:15" x14ac:dyDescent="0.35">
      <c r="A188">
        <v>4020332650</v>
      </c>
      <c r="B188" s="1">
        <v>42462</v>
      </c>
      <c r="C188">
        <v>4299</v>
      </c>
      <c r="D188">
        <v>3.0999999046325701</v>
      </c>
      <c r="E188">
        <v>3.0999999046325701</v>
      </c>
      <c r="F188">
        <v>0</v>
      </c>
      <c r="G188">
        <v>9.00000035762787E-2</v>
      </c>
      <c r="H188">
        <v>0.20999999344348899</v>
      </c>
      <c r="I188">
        <v>2.7400000095367401</v>
      </c>
      <c r="J188">
        <v>3.9999999105930301E-2</v>
      </c>
      <c r="K188">
        <v>3</v>
      </c>
      <c r="L188">
        <v>15</v>
      </c>
      <c r="M188">
        <v>162</v>
      </c>
      <c r="N188">
        <v>752</v>
      </c>
      <c r="O188">
        <v>2892</v>
      </c>
    </row>
    <row r="189" spans="1:15" x14ac:dyDescent="0.35">
      <c r="A189">
        <v>4020332650</v>
      </c>
      <c r="B189" s="1">
        <v>42463</v>
      </c>
      <c r="C189">
        <v>6107</v>
      </c>
      <c r="D189">
        <v>4.3800001144409197</v>
      </c>
      <c r="E189">
        <v>4.3800001144409197</v>
      </c>
      <c r="F189">
        <v>0</v>
      </c>
      <c r="G189">
        <v>0</v>
      </c>
      <c r="H189">
        <v>0</v>
      </c>
      <c r="I189">
        <v>4.3600001335143999</v>
      </c>
      <c r="J189">
        <v>0</v>
      </c>
      <c r="K189">
        <v>0</v>
      </c>
      <c r="L189">
        <v>0</v>
      </c>
      <c r="M189">
        <v>265</v>
      </c>
      <c r="N189">
        <v>776</v>
      </c>
      <c r="O189">
        <v>3313</v>
      </c>
    </row>
    <row r="190" spans="1:15" x14ac:dyDescent="0.35">
      <c r="A190">
        <v>4020332650</v>
      </c>
      <c r="B190" s="1">
        <v>42464</v>
      </c>
      <c r="C190">
        <v>6429</v>
      </c>
      <c r="D190">
        <v>4.5999999046325701</v>
      </c>
      <c r="E190">
        <v>4.5999999046325701</v>
      </c>
      <c r="F190">
        <v>0</v>
      </c>
      <c r="G190">
        <v>0</v>
      </c>
      <c r="H190">
        <v>0.94999998807907104</v>
      </c>
      <c r="I190">
        <v>3.6500000953674299</v>
      </c>
      <c r="J190">
        <v>0</v>
      </c>
      <c r="K190">
        <v>0</v>
      </c>
      <c r="L190">
        <v>28</v>
      </c>
      <c r="M190">
        <v>193</v>
      </c>
      <c r="N190">
        <v>741</v>
      </c>
      <c r="O190">
        <v>3118</v>
      </c>
    </row>
    <row r="191" spans="1:15" x14ac:dyDescent="0.35">
      <c r="A191">
        <v>4020332650</v>
      </c>
      <c r="B191" s="1">
        <v>42465</v>
      </c>
      <c r="C191">
        <v>6880</v>
      </c>
      <c r="D191">
        <v>4.9299998283386204</v>
      </c>
      <c r="E191">
        <v>4.9299998283386204</v>
      </c>
      <c r="F191">
        <v>0</v>
      </c>
      <c r="G191">
        <v>0.5</v>
      </c>
      <c r="H191">
        <v>0.75999999046325695</v>
      </c>
      <c r="I191">
        <v>3.6500000953674299</v>
      </c>
      <c r="J191">
        <v>0</v>
      </c>
      <c r="K191">
        <v>7</v>
      </c>
      <c r="L191">
        <v>19</v>
      </c>
      <c r="M191">
        <v>165</v>
      </c>
      <c r="N191">
        <v>1249</v>
      </c>
      <c r="O191">
        <v>2966</v>
      </c>
    </row>
    <row r="192" spans="1:15" x14ac:dyDescent="0.35">
      <c r="A192">
        <v>4020332650</v>
      </c>
      <c r="B192" s="1">
        <v>42466</v>
      </c>
      <c r="C192">
        <v>7476</v>
      </c>
      <c r="D192">
        <v>5.3600001335143999</v>
      </c>
      <c r="E192">
        <v>5.3600001335143999</v>
      </c>
      <c r="F192">
        <v>0</v>
      </c>
      <c r="G192">
        <v>0</v>
      </c>
      <c r="H192">
        <v>0</v>
      </c>
      <c r="I192">
        <v>5.3099999427795401</v>
      </c>
      <c r="J192">
        <v>0</v>
      </c>
      <c r="K192">
        <v>0</v>
      </c>
      <c r="L192">
        <v>0</v>
      </c>
      <c r="M192">
        <v>263</v>
      </c>
      <c r="N192">
        <v>920</v>
      </c>
      <c r="O192">
        <v>3253</v>
      </c>
    </row>
    <row r="193" spans="1:15" x14ac:dyDescent="0.35">
      <c r="A193">
        <v>4020332650</v>
      </c>
      <c r="B193" s="1">
        <v>42467</v>
      </c>
      <c r="C193">
        <v>6581</v>
      </c>
      <c r="D193">
        <v>4.7199997901916504</v>
      </c>
      <c r="E193">
        <v>4.7199997901916504</v>
      </c>
      <c r="F193">
        <v>0</v>
      </c>
      <c r="G193">
        <v>0</v>
      </c>
      <c r="H193">
        <v>0.28999999165535001</v>
      </c>
      <c r="I193">
        <v>4.3899998664856001</v>
      </c>
      <c r="J193">
        <v>0</v>
      </c>
      <c r="K193">
        <v>0</v>
      </c>
      <c r="L193">
        <v>8</v>
      </c>
      <c r="M193">
        <v>241</v>
      </c>
      <c r="N193">
        <v>1191</v>
      </c>
      <c r="O193">
        <v>3032</v>
      </c>
    </row>
    <row r="194" spans="1:15" x14ac:dyDescent="0.35">
      <c r="A194">
        <v>4020332650</v>
      </c>
      <c r="B194" s="1">
        <v>42468</v>
      </c>
      <c r="C194">
        <v>10480</v>
      </c>
      <c r="D194">
        <v>7.5100002288818404</v>
      </c>
      <c r="E194">
        <v>7.5100002288818404</v>
      </c>
      <c r="F194">
        <v>0</v>
      </c>
      <c r="G194">
        <v>0.40999999642372098</v>
      </c>
      <c r="H194">
        <v>1.4700000286102299</v>
      </c>
      <c r="I194">
        <v>5.0100002288818404</v>
      </c>
      <c r="J194">
        <v>3.9999999105930301E-2</v>
      </c>
      <c r="K194">
        <v>6</v>
      </c>
      <c r="L194">
        <v>37</v>
      </c>
      <c r="M194">
        <v>272</v>
      </c>
      <c r="N194">
        <v>1125</v>
      </c>
      <c r="O194">
        <v>4034</v>
      </c>
    </row>
    <row r="195" spans="1:15" x14ac:dyDescent="0.35">
      <c r="A195">
        <v>4020332650</v>
      </c>
      <c r="B195" s="1">
        <v>42469</v>
      </c>
      <c r="C195">
        <v>7734</v>
      </c>
      <c r="D195">
        <v>5.5500001907348597</v>
      </c>
      <c r="E195">
        <v>5.5500001907348597</v>
      </c>
      <c r="F195">
        <v>0</v>
      </c>
      <c r="G195">
        <v>1.1599999666214</v>
      </c>
      <c r="H195">
        <v>0.490000009536743</v>
      </c>
      <c r="I195">
        <v>3.8199999332428001</v>
      </c>
      <c r="J195">
        <v>5.9999998658895499E-2</v>
      </c>
      <c r="K195">
        <v>20</v>
      </c>
      <c r="L195">
        <v>12</v>
      </c>
      <c r="M195">
        <v>223</v>
      </c>
      <c r="N195">
        <v>1185</v>
      </c>
      <c r="O195">
        <v>3264</v>
      </c>
    </row>
    <row r="196" spans="1:15" x14ac:dyDescent="0.35">
      <c r="A196">
        <v>4020332650</v>
      </c>
      <c r="B196" s="1">
        <v>42470</v>
      </c>
      <c r="C196">
        <v>5129</v>
      </c>
      <c r="D196">
        <v>3.6800000667571999</v>
      </c>
      <c r="E196">
        <v>3.6800000667571999</v>
      </c>
      <c r="F196">
        <v>0</v>
      </c>
      <c r="G196">
        <v>0.18000000715255701</v>
      </c>
      <c r="H196">
        <v>0.239999994635582</v>
      </c>
      <c r="I196">
        <v>3.21000003814697</v>
      </c>
      <c r="J196">
        <v>9.9999997764825804E-3</v>
      </c>
      <c r="K196">
        <v>5</v>
      </c>
      <c r="L196">
        <v>7</v>
      </c>
      <c r="M196">
        <v>176</v>
      </c>
      <c r="N196">
        <v>1178</v>
      </c>
      <c r="O196">
        <v>2817</v>
      </c>
    </row>
    <row r="197" spans="1:15" x14ac:dyDescent="0.35">
      <c r="A197">
        <v>4020332650</v>
      </c>
      <c r="B197" s="1">
        <v>42471</v>
      </c>
      <c r="C197">
        <v>2993</v>
      </c>
      <c r="D197">
        <v>2.1500000953674299</v>
      </c>
      <c r="E197">
        <v>2.1500000953674299</v>
      </c>
      <c r="F197">
        <v>0</v>
      </c>
      <c r="G197">
        <v>0</v>
      </c>
      <c r="H197">
        <v>0</v>
      </c>
      <c r="I197">
        <v>2.0899999141693102</v>
      </c>
      <c r="J197">
        <v>0</v>
      </c>
      <c r="K197">
        <v>0</v>
      </c>
      <c r="L197">
        <v>0</v>
      </c>
      <c r="M197">
        <v>114</v>
      </c>
      <c r="N197">
        <v>888</v>
      </c>
      <c r="O197">
        <v>2507</v>
      </c>
    </row>
    <row r="198" spans="1:15" x14ac:dyDescent="0.35">
      <c r="A198">
        <v>4020332650</v>
      </c>
      <c r="B198" s="1">
        <v>42472</v>
      </c>
      <c r="C198">
        <v>8</v>
      </c>
      <c r="D198">
        <v>9.9999997764825804E-3</v>
      </c>
      <c r="E198">
        <v>9.9999997764825804E-3</v>
      </c>
      <c r="F198">
        <v>0</v>
      </c>
      <c r="G198">
        <v>0</v>
      </c>
      <c r="H198">
        <v>0</v>
      </c>
      <c r="I198">
        <v>9.9999997764825804E-3</v>
      </c>
      <c r="J198">
        <v>0</v>
      </c>
      <c r="K198">
        <v>0</v>
      </c>
      <c r="L198">
        <v>0</v>
      </c>
      <c r="M198">
        <v>1</v>
      </c>
      <c r="N198">
        <v>321</v>
      </c>
      <c r="O198">
        <v>446</v>
      </c>
    </row>
    <row r="199" spans="1:15" x14ac:dyDescent="0.35">
      <c r="A199">
        <v>4057192912</v>
      </c>
      <c r="B199" s="1">
        <v>42441</v>
      </c>
      <c r="C199">
        <v>0</v>
      </c>
      <c r="D199">
        <v>0</v>
      </c>
      <c r="E199">
        <v>0</v>
      </c>
      <c r="F199">
        <v>0</v>
      </c>
      <c r="G199">
        <v>0</v>
      </c>
      <c r="H199">
        <v>0</v>
      </c>
      <c r="I199">
        <v>0</v>
      </c>
      <c r="J199">
        <v>0</v>
      </c>
      <c r="K199">
        <v>0</v>
      </c>
      <c r="L199">
        <v>0</v>
      </c>
      <c r="M199">
        <v>0</v>
      </c>
      <c r="N199">
        <v>1440</v>
      </c>
      <c r="O199">
        <v>1777</v>
      </c>
    </row>
    <row r="200" spans="1:15" x14ac:dyDescent="0.35">
      <c r="A200">
        <v>4057192912</v>
      </c>
      <c r="B200" s="1">
        <v>42442</v>
      </c>
      <c r="C200">
        <v>0</v>
      </c>
      <c r="D200">
        <v>0</v>
      </c>
      <c r="E200">
        <v>0</v>
      </c>
      <c r="F200">
        <v>0</v>
      </c>
      <c r="G200">
        <v>0</v>
      </c>
      <c r="H200">
        <v>0</v>
      </c>
      <c r="I200">
        <v>0</v>
      </c>
      <c r="J200">
        <v>0</v>
      </c>
      <c r="K200">
        <v>0</v>
      </c>
      <c r="L200">
        <v>0</v>
      </c>
      <c r="M200">
        <v>0</v>
      </c>
      <c r="N200">
        <v>1440</v>
      </c>
      <c r="O200">
        <v>1777</v>
      </c>
    </row>
    <row r="201" spans="1:15" x14ac:dyDescent="0.35">
      <c r="A201">
        <v>4057192912</v>
      </c>
      <c r="B201" s="1">
        <v>42443</v>
      </c>
      <c r="C201">
        <v>8433</v>
      </c>
      <c r="D201">
        <v>6.2300000190734899</v>
      </c>
      <c r="E201">
        <v>6.2300000190734899</v>
      </c>
      <c r="F201">
        <v>0</v>
      </c>
      <c r="G201">
        <v>2.4500000476837198</v>
      </c>
      <c r="H201">
        <v>0.33000001311302202</v>
      </c>
      <c r="I201">
        <v>3.4400000572204599</v>
      </c>
      <c r="J201">
        <v>0</v>
      </c>
      <c r="K201">
        <v>30</v>
      </c>
      <c r="L201">
        <v>7</v>
      </c>
      <c r="M201">
        <v>135</v>
      </c>
      <c r="N201">
        <v>1268</v>
      </c>
      <c r="O201">
        <v>2453</v>
      </c>
    </row>
    <row r="202" spans="1:15" x14ac:dyDescent="0.35">
      <c r="A202">
        <v>4057192912</v>
      </c>
      <c r="B202" s="1">
        <v>42444</v>
      </c>
      <c r="C202">
        <v>0</v>
      </c>
      <c r="D202">
        <v>0</v>
      </c>
      <c r="E202">
        <v>0</v>
      </c>
      <c r="F202">
        <v>0</v>
      </c>
      <c r="G202">
        <v>0</v>
      </c>
      <c r="H202">
        <v>0</v>
      </c>
      <c r="I202">
        <v>0</v>
      </c>
      <c r="J202">
        <v>0</v>
      </c>
      <c r="K202">
        <v>0</v>
      </c>
      <c r="L202">
        <v>0</v>
      </c>
      <c r="M202">
        <v>0</v>
      </c>
      <c r="N202">
        <v>1440</v>
      </c>
      <c r="O202">
        <v>1776</v>
      </c>
    </row>
    <row r="203" spans="1:15" x14ac:dyDescent="0.35">
      <c r="A203">
        <v>4057192912</v>
      </c>
      <c r="B203" s="1">
        <v>42445</v>
      </c>
      <c r="C203">
        <v>2139</v>
      </c>
      <c r="D203">
        <v>1.5599999427795399</v>
      </c>
      <c r="E203">
        <v>1.5599999427795399</v>
      </c>
      <c r="F203">
        <v>0</v>
      </c>
      <c r="G203">
        <v>0</v>
      </c>
      <c r="H203">
        <v>1.29999995231628</v>
      </c>
      <c r="I203">
        <v>0.259999990463257</v>
      </c>
      <c r="J203">
        <v>0</v>
      </c>
      <c r="K203">
        <v>0</v>
      </c>
      <c r="L203">
        <v>28</v>
      </c>
      <c r="M203">
        <v>15</v>
      </c>
      <c r="N203">
        <v>1397</v>
      </c>
      <c r="O203">
        <v>1935</v>
      </c>
    </row>
    <row r="204" spans="1:15" x14ac:dyDescent="0.35">
      <c r="A204">
        <v>4057192912</v>
      </c>
      <c r="B204" s="1">
        <v>42446</v>
      </c>
      <c r="C204">
        <v>0</v>
      </c>
      <c r="D204">
        <v>0</v>
      </c>
      <c r="E204">
        <v>0</v>
      </c>
      <c r="F204">
        <v>0</v>
      </c>
      <c r="G204">
        <v>0</v>
      </c>
      <c r="H204">
        <v>0</v>
      </c>
      <c r="I204">
        <v>0</v>
      </c>
      <c r="J204">
        <v>0</v>
      </c>
      <c r="K204">
        <v>0</v>
      </c>
      <c r="L204">
        <v>0</v>
      </c>
      <c r="M204">
        <v>0</v>
      </c>
      <c r="N204">
        <v>1440</v>
      </c>
      <c r="O204">
        <v>1776</v>
      </c>
    </row>
    <row r="205" spans="1:15" x14ac:dyDescent="0.35">
      <c r="A205">
        <v>4057192912</v>
      </c>
      <c r="B205" s="1">
        <v>42447</v>
      </c>
      <c r="C205">
        <v>949</v>
      </c>
      <c r="D205">
        <v>0.68999999761581399</v>
      </c>
      <c r="E205">
        <v>0.68999999761581399</v>
      </c>
      <c r="F205">
        <v>0</v>
      </c>
      <c r="G205">
        <v>0</v>
      </c>
      <c r="H205">
        <v>0</v>
      </c>
      <c r="I205">
        <v>0.68999999761581399</v>
      </c>
      <c r="J205">
        <v>0</v>
      </c>
      <c r="K205">
        <v>0</v>
      </c>
      <c r="L205">
        <v>0</v>
      </c>
      <c r="M205">
        <v>34</v>
      </c>
      <c r="N205">
        <v>1406</v>
      </c>
      <c r="O205">
        <v>1870</v>
      </c>
    </row>
    <row r="206" spans="1:15" x14ac:dyDescent="0.35">
      <c r="A206">
        <v>4057192912</v>
      </c>
      <c r="B206" s="1">
        <v>42448</v>
      </c>
      <c r="C206">
        <v>0</v>
      </c>
      <c r="D206">
        <v>0</v>
      </c>
      <c r="E206">
        <v>0</v>
      </c>
      <c r="F206">
        <v>0</v>
      </c>
      <c r="G206">
        <v>0</v>
      </c>
      <c r="H206">
        <v>0</v>
      </c>
      <c r="I206">
        <v>0</v>
      </c>
      <c r="J206">
        <v>0</v>
      </c>
      <c r="K206">
        <v>0</v>
      </c>
      <c r="L206">
        <v>0</v>
      </c>
      <c r="M206">
        <v>0</v>
      </c>
      <c r="N206">
        <v>1440</v>
      </c>
      <c r="O206">
        <v>1777</v>
      </c>
    </row>
    <row r="207" spans="1:15" x14ac:dyDescent="0.35">
      <c r="A207">
        <v>4057192912</v>
      </c>
      <c r="B207" s="1">
        <v>42449</v>
      </c>
      <c r="C207">
        <v>44</v>
      </c>
      <c r="D207">
        <v>2.9999999329447701E-2</v>
      </c>
      <c r="E207">
        <v>2.9999999329447701E-2</v>
      </c>
      <c r="F207">
        <v>0</v>
      </c>
      <c r="G207">
        <v>0</v>
      </c>
      <c r="H207">
        <v>0</v>
      </c>
      <c r="I207">
        <v>2.9999999329447701E-2</v>
      </c>
      <c r="J207">
        <v>0</v>
      </c>
      <c r="K207">
        <v>0</v>
      </c>
      <c r="L207">
        <v>0</v>
      </c>
      <c r="M207">
        <v>2</v>
      </c>
      <c r="N207">
        <v>1438</v>
      </c>
      <c r="O207">
        <v>1782</v>
      </c>
    </row>
    <row r="208" spans="1:15" x14ac:dyDescent="0.35">
      <c r="A208">
        <v>4057192912</v>
      </c>
      <c r="B208" s="1">
        <v>42450</v>
      </c>
      <c r="C208">
        <v>2660</v>
      </c>
      <c r="D208">
        <v>1.9400000572204601</v>
      </c>
      <c r="E208">
        <v>1.9400000572204601</v>
      </c>
      <c r="F208">
        <v>0</v>
      </c>
      <c r="G208">
        <v>0</v>
      </c>
      <c r="H208">
        <v>0</v>
      </c>
      <c r="I208">
        <v>1.9400000572204601</v>
      </c>
      <c r="J208">
        <v>0</v>
      </c>
      <c r="K208">
        <v>0</v>
      </c>
      <c r="L208">
        <v>0</v>
      </c>
      <c r="M208">
        <v>46</v>
      </c>
      <c r="N208">
        <v>1394</v>
      </c>
      <c r="O208">
        <v>1978</v>
      </c>
    </row>
    <row r="209" spans="1:15" x14ac:dyDescent="0.35">
      <c r="A209">
        <v>4057192912</v>
      </c>
      <c r="B209" s="1">
        <v>42451</v>
      </c>
      <c r="C209">
        <v>5561</v>
      </c>
      <c r="D209">
        <v>4.1900000572204599</v>
      </c>
      <c r="E209">
        <v>4.1900000572204599</v>
      </c>
      <c r="F209">
        <v>0</v>
      </c>
      <c r="G209">
        <v>0</v>
      </c>
      <c r="H209">
        <v>0</v>
      </c>
      <c r="I209">
        <v>4.0700001716613796</v>
      </c>
      <c r="J209">
        <v>0</v>
      </c>
      <c r="K209">
        <v>0</v>
      </c>
      <c r="L209">
        <v>0</v>
      </c>
      <c r="M209">
        <v>169</v>
      </c>
      <c r="N209">
        <v>1271</v>
      </c>
      <c r="O209">
        <v>2296</v>
      </c>
    </row>
    <row r="210" spans="1:15" x14ac:dyDescent="0.35">
      <c r="A210">
        <v>4057192912</v>
      </c>
      <c r="B210" s="1">
        <v>42452</v>
      </c>
      <c r="C210">
        <v>7239</v>
      </c>
      <c r="D210">
        <v>5.3400001525878897</v>
      </c>
      <c r="E210">
        <v>5.3400001525878897</v>
      </c>
      <c r="F210">
        <v>0</v>
      </c>
      <c r="G210">
        <v>0.55000001192092896</v>
      </c>
      <c r="H210">
        <v>0.36000001430511502</v>
      </c>
      <c r="I210">
        <v>4.3800001144409197</v>
      </c>
      <c r="J210">
        <v>0</v>
      </c>
      <c r="K210">
        <v>7</v>
      </c>
      <c r="L210">
        <v>7</v>
      </c>
      <c r="M210">
        <v>190</v>
      </c>
      <c r="N210">
        <v>1236</v>
      </c>
      <c r="O210">
        <v>2484</v>
      </c>
    </row>
    <row r="211" spans="1:15" x14ac:dyDescent="0.35">
      <c r="A211">
        <v>4057192912</v>
      </c>
      <c r="B211" s="1">
        <v>42453</v>
      </c>
      <c r="C211">
        <v>7</v>
      </c>
      <c r="D211">
        <v>9.9999997764825804E-3</v>
      </c>
      <c r="E211">
        <v>9.9999997764825804E-3</v>
      </c>
      <c r="F211">
        <v>0</v>
      </c>
      <c r="G211">
        <v>0</v>
      </c>
      <c r="H211">
        <v>0</v>
      </c>
      <c r="I211">
        <v>9.9999997764825804E-3</v>
      </c>
      <c r="J211">
        <v>0</v>
      </c>
      <c r="K211">
        <v>0</v>
      </c>
      <c r="L211">
        <v>0</v>
      </c>
      <c r="M211">
        <v>1</v>
      </c>
      <c r="N211">
        <v>1439</v>
      </c>
      <c r="O211">
        <v>1787</v>
      </c>
    </row>
    <row r="212" spans="1:15" x14ac:dyDescent="0.35">
      <c r="A212">
        <v>4057192912</v>
      </c>
      <c r="B212" s="1">
        <v>42454</v>
      </c>
      <c r="C212">
        <v>0</v>
      </c>
      <c r="D212">
        <v>0</v>
      </c>
      <c r="E212">
        <v>0</v>
      </c>
      <c r="F212">
        <v>0</v>
      </c>
      <c r="G212">
        <v>0</v>
      </c>
      <c r="H212">
        <v>0</v>
      </c>
      <c r="I212">
        <v>0</v>
      </c>
      <c r="J212">
        <v>0</v>
      </c>
      <c r="K212">
        <v>0</v>
      </c>
      <c r="L212">
        <v>0</v>
      </c>
      <c r="M212">
        <v>0</v>
      </c>
      <c r="N212">
        <v>1440</v>
      </c>
      <c r="O212">
        <v>1776</v>
      </c>
    </row>
    <row r="213" spans="1:15" x14ac:dyDescent="0.35">
      <c r="A213">
        <v>4057192912</v>
      </c>
      <c r="B213" s="1">
        <v>42455</v>
      </c>
      <c r="C213">
        <v>0</v>
      </c>
      <c r="D213">
        <v>0</v>
      </c>
      <c r="E213">
        <v>0</v>
      </c>
      <c r="F213">
        <v>0</v>
      </c>
      <c r="G213">
        <v>0</v>
      </c>
      <c r="H213">
        <v>0</v>
      </c>
      <c r="I213">
        <v>0</v>
      </c>
      <c r="J213">
        <v>0</v>
      </c>
      <c r="K213">
        <v>0</v>
      </c>
      <c r="L213">
        <v>0</v>
      </c>
      <c r="M213">
        <v>0</v>
      </c>
      <c r="N213">
        <v>1440</v>
      </c>
      <c r="O213">
        <v>1776</v>
      </c>
    </row>
    <row r="214" spans="1:15" x14ac:dyDescent="0.35">
      <c r="A214">
        <v>4057192912</v>
      </c>
      <c r="B214" s="1">
        <v>42456</v>
      </c>
      <c r="C214">
        <v>2275</v>
      </c>
      <c r="D214">
        <v>1.6799999475479099</v>
      </c>
      <c r="E214">
        <v>1.6799999475479099</v>
      </c>
      <c r="F214">
        <v>0</v>
      </c>
      <c r="G214">
        <v>0</v>
      </c>
      <c r="H214">
        <v>0</v>
      </c>
      <c r="I214">
        <v>1.6599999666214</v>
      </c>
      <c r="J214">
        <v>0</v>
      </c>
      <c r="K214">
        <v>0</v>
      </c>
      <c r="L214">
        <v>0</v>
      </c>
      <c r="M214">
        <v>86</v>
      </c>
      <c r="N214">
        <v>1354</v>
      </c>
      <c r="O214">
        <v>2005</v>
      </c>
    </row>
    <row r="215" spans="1:15" x14ac:dyDescent="0.35">
      <c r="A215">
        <v>4057192912</v>
      </c>
      <c r="B215" s="1">
        <v>42457</v>
      </c>
      <c r="C215">
        <v>8</v>
      </c>
      <c r="D215">
        <v>9.9999997764825804E-3</v>
      </c>
      <c r="E215">
        <v>9.9999997764825804E-3</v>
      </c>
      <c r="F215">
        <v>0</v>
      </c>
      <c r="G215">
        <v>0</v>
      </c>
      <c r="H215">
        <v>0</v>
      </c>
      <c r="I215">
        <v>9.9999997764825804E-3</v>
      </c>
      <c r="J215">
        <v>0</v>
      </c>
      <c r="K215">
        <v>0</v>
      </c>
      <c r="L215">
        <v>0</v>
      </c>
      <c r="M215">
        <v>1</v>
      </c>
      <c r="N215">
        <v>1439</v>
      </c>
      <c r="O215">
        <v>1778</v>
      </c>
    </row>
    <row r="216" spans="1:15" x14ac:dyDescent="0.35">
      <c r="A216">
        <v>4057192912</v>
      </c>
      <c r="B216" s="1">
        <v>42458</v>
      </c>
      <c r="C216">
        <v>5137</v>
      </c>
      <c r="D216">
        <v>3.7599999904632599</v>
      </c>
      <c r="E216">
        <v>3.7599999904632599</v>
      </c>
      <c r="F216">
        <v>0</v>
      </c>
      <c r="G216">
        <v>0</v>
      </c>
      <c r="H216">
        <v>0</v>
      </c>
      <c r="I216">
        <v>3.7599999904632599</v>
      </c>
      <c r="J216">
        <v>0</v>
      </c>
      <c r="K216">
        <v>0</v>
      </c>
      <c r="L216">
        <v>0</v>
      </c>
      <c r="M216">
        <v>160</v>
      </c>
      <c r="N216">
        <v>1280</v>
      </c>
      <c r="O216">
        <v>2293</v>
      </c>
    </row>
    <row r="217" spans="1:15" x14ac:dyDescent="0.35">
      <c r="A217">
        <v>4057192912</v>
      </c>
      <c r="B217" s="1">
        <v>42459</v>
      </c>
      <c r="C217">
        <v>5419</v>
      </c>
      <c r="D217">
        <v>4</v>
      </c>
      <c r="E217">
        <v>4.5700001716613796</v>
      </c>
      <c r="F217">
        <v>5.5842999368906E-2</v>
      </c>
      <c r="G217">
        <v>0</v>
      </c>
      <c r="H217">
        <v>0</v>
      </c>
      <c r="I217">
        <v>3.9100000858306898</v>
      </c>
      <c r="J217">
        <v>5.9999998658895499E-2</v>
      </c>
      <c r="K217">
        <v>0</v>
      </c>
      <c r="L217">
        <v>0</v>
      </c>
      <c r="M217">
        <v>145</v>
      </c>
      <c r="N217">
        <v>1295</v>
      </c>
      <c r="O217">
        <v>2259</v>
      </c>
    </row>
    <row r="218" spans="1:15" x14ac:dyDescent="0.35">
      <c r="A218">
        <v>4057192912</v>
      </c>
      <c r="B218" s="1">
        <v>42460</v>
      </c>
      <c r="C218">
        <v>0</v>
      </c>
      <c r="D218">
        <v>0</v>
      </c>
      <c r="E218">
        <v>0</v>
      </c>
      <c r="F218">
        <v>0</v>
      </c>
      <c r="G218">
        <v>0</v>
      </c>
      <c r="H218">
        <v>0</v>
      </c>
      <c r="I218">
        <v>0</v>
      </c>
      <c r="J218">
        <v>0</v>
      </c>
      <c r="K218">
        <v>0</v>
      </c>
      <c r="L218">
        <v>0</v>
      </c>
      <c r="M218">
        <v>0</v>
      </c>
      <c r="N218">
        <v>1440</v>
      </c>
      <c r="O218">
        <v>1776</v>
      </c>
    </row>
    <row r="219" spans="1:15" x14ac:dyDescent="0.35">
      <c r="A219">
        <v>4057192912</v>
      </c>
      <c r="B219" s="1">
        <v>42461</v>
      </c>
      <c r="C219">
        <v>0</v>
      </c>
      <c r="D219">
        <v>0</v>
      </c>
      <c r="E219">
        <v>0</v>
      </c>
      <c r="F219">
        <v>0</v>
      </c>
      <c r="G219">
        <v>0</v>
      </c>
      <c r="H219">
        <v>0</v>
      </c>
      <c r="I219">
        <v>0</v>
      </c>
      <c r="J219">
        <v>0</v>
      </c>
      <c r="K219">
        <v>0</v>
      </c>
      <c r="L219">
        <v>0</v>
      </c>
      <c r="M219">
        <v>0</v>
      </c>
      <c r="N219">
        <v>1440</v>
      </c>
      <c r="O219">
        <v>1776</v>
      </c>
    </row>
    <row r="220" spans="1:15" x14ac:dyDescent="0.35">
      <c r="A220">
        <v>4057192912</v>
      </c>
      <c r="B220" s="1">
        <v>42462</v>
      </c>
      <c r="C220">
        <v>0</v>
      </c>
      <c r="D220">
        <v>0</v>
      </c>
      <c r="E220">
        <v>0</v>
      </c>
      <c r="F220">
        <v>0</v>
      </c>
      <c r="G220">
        <v>0</v>
      </c>
      <c r="H220">
        <v>0</v>
      </c>
      <c r="I220">
        <v>0</v>
      </c>
      <c r="J220">
        <v>0</v>
      </c>
      <c r="K220">
        <v>0</v>
      </c>
      <c r="L220">
        <v>0</v>
      </c>
      <c r="M220">
        <v>0</v>
      </c>
      <c r="N220">
        <v>1440</v>
      </c>
      <c r="O220">
        <v>1776</v>
      </c>
    </row>
    <row r="221" spans="1:15" x14ac:dyDescent="0.35">
      <c r="A221">
        <v>4057192912</v>
      </c>
      <c r="B221" s="1">
        <v>42463</v>
      </c>
      <c r="C221">
        <v>0</v>
      </c>
      <c r="D221">
        <v>0</v>
      </c>
      <c r="E221">
        <v>0</v>
      </c>
      <c r="F221">
        <v>0</v>
      </c>
      <c r="G221">
        <v>0</v>
      </c>
      <c r="H221">
        <v>0</v>
      </c>
      <c r="I221">
        <v>0</v>
      </c>
      <c r="J221">
        <v>0</v>
      </c>
      <c r="K221">
        <v>0</v>
      </c>
      <c r="L221">
        <v>0</v>
      </c>
      <c r="M221">
        <v>0</v>
      </c>
      <c r="N221">
        <v>1440</v>
      </c>
      <c r="O221">
        <v>1776</v>
      </c>
    </row>
    <row r="222" spans="1:15" x14ac:dyDescent="0.35">
      <c r="A222">
        <v>4057192912</v>
      </c>
      <c r="B222" s="1">
        <v>42464</v>
      </c>
      <c r="C222">
        <v>0</v>
      </c>
      <c r="D222">
        <v>0</v>
      </c>
      <c r="E222">
        <v>0</v>
      </c>
      <c r="F222">
        <v>0</v>
      </c>
      <c r="G222">
        <v>0</v>
      </c>
      <c r="H222">
        <v>0</v>
      </c>
      <c r="I222">
        <v>0</v>
      </c>
      <c r="J222">
        <v>0</v>
      </c>
      <c r="K222">
        <v>0</v>
      </c>
      <c r="L222">
        <v>0</v>
      </c>
      <c r="M222">
        <v>0</v>
      </c>
      <c r="N222">
        <v>1440</v>
      </c>
      <c r="O222">
        <v>1776</v>
      </c>
    </row>
    <row r="223" spans="1:15" x14ac:dyDescent="0.35">
      <c r="A223">
        <v>4057192912</v>
      </c>
      <c r="B223" s="1">
        <v>42465</v>
      </c>
      <c r="C223">
        <v>0</v>
      </c>
      <c r="D223">
        <v>0</v>
      </c>
      <c r="E223">
        <v>0</v>
      </c>
      <c r="F223">
        <v>0</v>
      </c>
      <c r="G223">
        <v>0</v>
      </c>
      <c r="H223">
        <v>0</v>
      </c>
      <c r="I223">
        <v>0</v>
      </c>
      <c r="J223">
        <v>0</v>
      </c>
      <c r="K223">
        <v>0</v>
      </c>
      <c r="L223">
        <v>0</v>
      </c>
      <c r="M223">
        <v>0</v>
      </c>
      <c r="N223">
        <v>1440</v>
      </c>
      <c r="O223">
        <v>1776</v>
      </c>
    </row>
    <row r="224" spans="1:15" x14ac:dyDescent="0.35">
      <c r="A224">
        <v>4057192912</v>
      </c>
      <c r="B224" s="1">
        <v>42466</v>
      </c>
      <c r="C224">
        <v>18</v>
      </c>
      <c r="D224">
        <v>9.9999997764825804E-3</v>
      </c>
      <c r="E224">
        <v>9.9999997764825804E-3</v>
      </c>
      <c r="F224">
        <v>0</v>
      </c>
      <c r="G224">
        <v>0</v>
      </c>
      <c r="H224">
        <v>0</v>
      </c>
      <c r="I224">
        <v>9.9999997764825804E-3</v>
      </c>
      <c r="J224">
        <v>0</v>
      </c>
      <c r="K224">
        <v>0</v>
      </c>
      <c r="L224">
        <v>0</v>
      </c>
      <c r="M224">
        <v>2</v>
      </c>
      <c r="N224">
        <v>1438</v>
      </c>
      <c r="O224">
        <v>1780</v>
      </c>
    </row>
    <row r="225" spans="1:15" x14ac:dyDescent="0.35">
      <c r="A225">
        <v>4057192912</v>
      </c>
      <c r="B225" s="1">
        <v>42467</v>
      </c>
      <c r="C225">
        <v>4</v>
      </c>
      <c r="D225">
        <v>0</v>
      </c>
      <c r="E225">
        <v>0</v>
      </c>
      <c r="F225">
        <v>0</v>
      </c>
      <c r="G225">
        <v>0</v>
      </c>
      <c r="H225">
        <v>0</v>
      </c>
      <c r="I225">
        <v>0</v>
      </c>
      <c r="J225">
        <v>0</v>
      </c>
      <c r="K225">
        <v>0</v>
      </c>
      <c r="L225">
        <v>0</v>
      </c>
      <c r="M225">
        <v>1</v>
      </c>
      <c r="N225">
        <v>1439</v>
      </c>
      <c r="O225">
        <v>1778</v>
      </c>
    </row>
    <row r="226" spans="1:15" x14ac:dyDescent="0.35">
      <c r="A226">
        <v>4057192912</v>
      </c>
      <c r="B226" s="1">
        <v>42468</v>
      </c>
      <c r="C226">
        <v>8426</v>
      </c>
      <c r="D226">
        <v>6.1599998474121103</v>
      </c>
      <c r="E226">
        <v>6.1599998474121103</v>
      </c>
      <c r="F226">
        <v>0</v>
      </c>
      <c r="G226">
        <v>0.129999995231628</v>
      </c>
      <c r="H226">
        <v>5.4899997711181596</v>
      </c>
      <c r="I226">
        <v>0.54000002145767201</v>
      </c>
      <c r="J226">
        <v>0</v>
      </c>
      <c r="K226">
        <v>2</v>
      </c>
      <c r="L226">
        <v>120</v>
      </c>
      <c r="M226">
        <v>25</v>
      </c>
      <c r="N226">
        <v>1293</v>
      </c>
      <c r="O226">
        <v>2360</v>
      </c>
    </row>
    <row r="227" spans="1:15" x14ac:dyDescent="0.35">
      <c r="A227">
        <v>4057192912</v>
      </c>
      <c r="B227" s="1">
        <v>42469</v>
      </c>
      <c r="C227">
        <v>1650</v>
      </c>
      <c r="D227">
        <v>1.21000003814697</v>
      </c>
      <c r="E227">
        <v>1.21000003814697</v>
      </c>
      <c r="F227">
        <v>0</v>
      </c>
      <c r="G227">
        <v>0</v>
      </c>
      <c r="H227">
        <v>0</v>
      </c>
      <c r="I227">
        <v>1.21000003814697</v>
      </c>
      <c r="J227">
        <v>0</v>
      </c>
      <c r="K227">
        <v>0</v>
      </c>
      <c r="L227">
        <v>0</v>
      </c>
      <c r="M227">
        <v>60</v>
      </c>
      <c r="N227">
        <v>1380</v>
      </c>
      <c r="O227">
        <v>1952</v>
      </c>
    </row>
    <row r="228" spans="1:15" x14ac:dyDescent="0.35">
      <c r="A228">
        <v>4057192912</v>
      </c>
      <c r="B228" s="1">
        <v>42470</v>
      </c>
      <c r="C228">
        <v>3434</v>
      </c>
      <c r="D228">
        <v>2.5099999904632599</v>
      </c>
      <c r="E228">
        <v>2.5099999904632599</v>
      </c>
      <c r="F228">
        <v>0</v>
      </c>
      <c r="G228">
        <v>7.0000000298023196E-2</v>
      </c>
      <c r="H228">
        <v>0.30000001192092901</v>
      </c>
      <c r="I228">
        <v>2.1400001049041699</v>
      </c>
      <c r="J228">
        <v>0</v>
      </c>
      <c r="K228">
        <v>1</v>
      </c>
      <c r="L228">
        <v>7</v>
      </c>
      <c r="M228">
        <v>108</v>
      </c>
      <c r="N228">
        <v>1324</v>
      </c>
      <c r="O228">
        <v>2101</v>
      </c>
    </row>
    <row r="229" spans="1:15" x14ac:dyDescent="0.35">
      <c r="A229">
        <v>4057192912</v>
      </c>
      <c r="B229" s="1">
        <v>42471</v>
      </c>
      <c r="C229">
        <v>6801</v>
      </c>
      <c r="D229">
        <v>4.9800000190734899</v>
      </c>
      <c r="E229">
        <v>4.9800000190734899</v>
      </c>
      <c r="F229">
        <v>0</v>
      </c>
      <c r="G229">
        <v>0</v>
      </c>
      <c r="H229">
        <v>0</v>
      </c>
      <c r="I229">
        <v>4.9699997901916504</v>
      </c>
      <c r="J229">
        <v>0</v>
      </c>
      <c r="K229">
        <v>0</v>
      </c>
      <c r="L229">
        <v>0</v>
      </c>
      <c r="M229">
        <v>193</v>
      </c>
      <c r="N229">
        <v>1247</v>
      </c>
      <c r="O229">
        <v>2393</v>
      </c>
    </row>
    <row r="230" spans="1:15" x14ac:dyDescent="0.35">
      <c r="A230">
        <v>4057192912</v>
      </c>
      <c r="B230" s="1">
        <v>42472</v>
      </c>
      <c r="C230">
        <v>187</v>
      </c>
      <c r="D230">
        <v>0.140000000596046</v>
      </c>
      <c r="E230">
        <v>0.140000000596046</v>
      </c>
      <c r="F230">
        <v>0</v>
      </c>
      <c r="G230">
        <v>0</v>
      </c>
      <c r="H230">
        <v>0</v>
      </c>
      <c r="I230">
        <v>0.140000000596046</v>
      </c>
      <c r="J230">
        <v>0</v>
      </c>
      <c r="K230">
        <v>0</v>
      </c>
      <c r="L230">
        <v>0</v>
      </c>
      <c r="M230">
        <v>11</v>
      </c>
      <c r="N230">
        <v>400</v>
      </c>
      <c r="O230">
        <v>538</v>
      </c>
    </row>
    <row r="231" spans="1:15" x14ac:dyDescent="0.35">
      <c r="A231">
        <v>4319703577</v>
      </c>
      <c r="B231" s="1">
        <v>42458</v>
      </c>
      <c r="C231">
        <v>5643</v>
      </c>
      <c r="D231">
        <v>3.78999996185303</v>
      </c>
      <c r="E231">
        <v>3.78999996185303</v>
      </c>
      <c r="F231">
        <v>0</v>
      </c>
      <c r="G231">
        <v>0.230000004172325</v>
      </c>
      <c r="H231">
        <v>0.33000001311302202</v>
      </c>
      <c r="I231">
        <v>3.2300000190734899</v>
      </c>
      <c r="J231">
        <v>0</v>
      </c>
      <c r="K231">
        <v>3</v>
      </c>
      <c r="L231">
        <v>8</v>
      </c>
      <c r="M231">
        <v>199</v>
      </c>
      <c r="N231">
        <v>683</v>
      </c>
      <c r="O231">
        <v>1958</v>
      </c>
    </row>
    <row r="232" spans="1:15" x14ac:dyDescent="0.35">
      <c r="A232">
        <v>4319703577</v>
      </c>
      <c r="B232" s="1">
        <v>42459</v>
      </c>
      <c r="C232">
        <v>9043</v>
      </c>
      <c r="D232">
        <v>6.0700001716613796</v>
      </c>
      <c r="E232">
        <v>6.0700001716613796</v>
      </c>
      <c r="F232">
        <v>0</v>
      </c>
      <c r="G232">
        <v>0.25</v>
      </c>
      <c r="H232">
        <v>0.43000000715255698</v>
      </c>
      <c r="I232">
        <v>5.3699998855590803</v>
      </c>
      <c r="J232">
        <v>0</v>
      </c>
      <c r="K232">
        <v>4</v>
      </c>
      <c r="L232">
        <v>12</v>
      </c>
      <c r="M232">
        <v>244</v>
      </c>
      <c r="N232">
        <v>702</v>
      </c>
      <c r="O232">
        <v>2141</v>
      </c>
    </row>
    <row r="233" spans="1:15" x14ac:dyDescent="0.35">
      <c r="A233">
        <v>4319703577</v>
      </c>
      <c r="B233" s="1">
        <v>42460</v>
      </c>
      <c r="C233">
        <v>8144</v>
      </c>
      <c r="D233">
        <v>5.46000003814697</v>
      </c>
      <c r="E233">
        <v>5.46000003814697</v>
      </c>
      <c r="F233">
        <v>0</v>
      </c>
      <c r="G233">
        <v>0.25</v>
      </c>
      <c r="H233">
        <v>0.61000001430511497</v>
      </c>
      <c r="I233">
        <v>4.6100001335143999</v>
      </c>
      <c r="J233">
        <v>0</v>
      </c>
      <c r="K233">
        <v>4</v>
      </c>
      <c r="L233">
        <v>17</v>
      </c>
      <c r="M233">
        <v>247</v>
      </c>
      <c r="N233">
        <v>1125</v>
      </c>
      <c r="O233">
        <v>2129</v>
      </c>
    </row>
    <row r="234" spans="1:15" x14ac:dyDescent="0.35">
      <c r="A234">
        <v>4319703577</v>
      </c>
      <c r="B234" s="1">
        <v>42461</v>
      </c>
      <c r="C234">
        <v>9343</v>
      </c>
      <c r="D234">
        <v>6.2699999809265101</v>
      </c>
      <c r="E234">
        <v>6.2699999809265101</v>
      </c>
      <c r="F234">
        <v>0</v>
      </c>
      <c r="G234">
        <v>0.95999997854232799</v>
      </c>
      <c r="H234">
        <v>0.85000002384185802</v>
      </c>
      <c r="I234">
        <v>4.46000003814697</v>
      </c>
      <c r="J234">
        <v>0</v>
      </c>
      <c r="K234">
        <v>14</v>
      </c>
      <c r="L234">
        <v>20</v>
      </c>
      <c r="M234">
        <v>268</v>
      </c>
      <c r="N234">
        <v>654</v>
      </c>
      <c r="O234">
        <v>2216</v>
      </c>
    </row>
    <row r="235" spans="1:15" x14ac:dyDescent="0.35">
      <c r="A235">
        <v>4319703577</v>
      </c>
      <c r="B235" s="1">
        <v>42462</v>
      </c>
      <c r="C235">
        <v>8405</v>
      </c>
      <c r="D235">
        <v>5.6599998474121103</v>
      </c>
      <c r="E235">
        <v>5.6599998474121103</v>
      </c>
      <c r="F235">
        <v>0</v>
      </c>
      <c r="G235">
        <v>1.12999999523163</v>
      </c>
      <c r="H235">
        <v>0.18999999761581399</v>
      </c>
      <c r="I235">
        <v>4.3400001525878897</v>
      </c>
      <c r="J235">
        <v>0</v>
      </c>
      <c r="K235">
        <v>15</v>
      </c>
      <c r="L235">
        <v>4</v>
      </c>
      <c r="M235">
        <v>257</v>
      </c>
      <c r="N235">
        <v>621</v>
      </c>
      <c r="O235">
        <v>2154</v>
      </c>
    </row>
    <row r="236" spans="1:15" x14ac:dyDescent="0.35">
      <c r="A236">
        <v>4319703577</v>
      </c>
      <c r="B236" s="1">
        <v>42463</v>
      </c>
      <c r="C236">
        <v>8223</v>
      </c>
      <c r="D236">
        <v>5.5199999809265101</v>
      </c>
      <c r="E236">
        <v>5.5199999809265101</v>
      </c>
      <c r="F236">
        <v>0</v>
      </c>
      <c r="G236">
        <v>0.80000001192092896</v>
      </c>
      <c r="H236">
        <v>1.5099999904632599</v>
      </c>
      <c r="I236">
        <v>3.21000003814697</v>
      </c>
      <c r="J236">
        <v>0</v>
      </c>
      <c r="K236">
        <v>12</v>
      </c>
      <c r="L236">
        <v>37</v>
      </c>
      <c r="M236">
        <v>257</v>
      </c>
      <c r="N236">
        <v>551</v>
      </c>
      <c r="O236">
        <v>2178</v>
      </c>
    </row>
    <row r="237" spans="1:15" x14ac:dyDescent="0.35">
      <c r="A237">
        <v>4319703577</v>
      </c>
      <c r="B237" s="1">
        <v>42464</v>
      </c>
      <c r="C237">
        <v>10067</v>
      </c>
      <c r="D237">
        <v>6.7600002288818404</v>
      </c>
      <c r="E237">
        <v>6.7600002288818404</v>
      </c>
      <c r="F237">
        <v>0</v>
      </c>
      <c r="G237">
        <v>0.36000001430511502</v>
      </c>
      <c r="H237">
        <v>1.41999995708466</v>
      </c>
      <c r="I237">
        <v>4.9699997901916504</v>
      </c>
      <c r="J237">
        <v>0</v>
      </c>
      <c r="K237">
        <v>5</v>
      </c>
      <c r="L237">
        <v>39</v>
      </c>
      <c r="M237">
        <v>313</v>
      </c>
      <c r="N237">
        <v>578</v>
      </c>
      <c r="O237">
        <v>2308</v>
      </c>
    </row>
    <row r="238" spans="1:15" x14ac:dyDescent="0.35">
      <c r="A238">
        <v>4319703577</v>
      </c>
      <c r="B238" s="1">
        <v>42465</v>
      </c>
      <c r="C238">
        <v>8359</v>
      </c>
      <c r="D238">
        <v>5.6300001144409197</v>
      </c>
      <c r="E238">
        <v>5.6300001144409197</v>
      </c>
      <c r="F238">
        <v>0</v>
      </c>
      <c r="G238">
        <v>0.230000004172325</v>
      </c>
      <c r="H238">
        <v>0.52999997138977095</v>
      </c>
      <c r="I238">
        <v>4.8699998855590803</v>
      </c>
      <c r="J238">
        <v>0</v>
      </c>
      <c r="K238">
        <v>3</v>
      </c>
      <c r="L238">
        <v>14</v>
      </c>
      <c r="M238">
        <v>311</v>
      </c>
      <c r="N238">
        <v>638</v>
      </c>
      <c r="O238">
        <v>2201</v>
      </c>
    </row>
    <row r="239" spans="1:15" x14ac:dyDescent="0.35">
      <c r="A239">
        <v>4319703577</v>
      </c>
      <c r="B239" s="1">
        <v>42466</v>
      </c>
      <c r="C239">
        <v>10946</v>
      </c>
      <c r="D239">
        <v>7.3499999046325701</v>
      </c>
      <c r="E239">
        <v>7.3499999046325701</v>
      </c>
      <c r="F239">
        <v>0</v>
      </c>
      <c r="G239">
        <v>0.54000002145767201</v>
      </c>
      <c r="H239">
        <v>2.0899999141693102</v>
      </c>
      <c r="I239">
        <v>4.7199997901916504</v>
      </c>
      <c r="J239">
        <v>0</v>
      </c>
      <c r="K239">
        <v>8</v>
      </c>
      <c r="L239">
        <v>51</v>
      </c>
      <c r="M239">
        <v>308</v>
      </c>
      <c r="N239">
        <v>569</v>
      </c>
      <c r="O239">
        <v>2341</v>
      </c>
    </row>
    <row r="240" spans="1:15" x14ac:dyDescent="0.35">
      <c r="A240">
        <v>4319703577</v>
      </c>
      <c r="B240" s="1">
        <v>42467</v>
      </c>
      <c r="C240">
        <v>9130</v>
      </c>
      <c r="D240">
        <v>6.1500000953674299</v>
      </c>
      <c r="E240">
        <v>6.1500000953674299</v>
      </c>
      <c r="F240">
        <v>0</v>
      </c>
      <c r="G240">
        <v>0.5</v>
      </c>
      <c r="H240">
        <v>0.37999999523162797</v>
      </c>
      <c r="I240">
        <v>5.2699999809265101</v>
      </c>
      <c r="J240">
        <v>0</v>
      </c>
      <c r="K240">
        <v>7</v>
      </c>
      <c r="L240">
        <v>11</v>
      </c>
      <c r="M240">
        <v>304</v>
      </c>
      <c r="N240">
        <v>668</v>
      </c>
      <c r="O240">
        <v>2236</v>
      </c>
    </row>
    <row r="241" spans="1:15" x14ac:dyDescent="0.35">
      <c r="A241">
        <v>4319703577</v>
      </c>
      <c r="B241" s="1">
        <v>42468</v>
      </c>
      <c r="C241">
        <v>6544</v>
      </c>
      <c r="D241">
        <v>4.4099998474121103</v>
      </c>
      <c r="E241">
        <v>4.4099998474121103</v>
      </c>
      <c r="F241">
        <v>0</v>
      </c>
      <c r="G241">
        <v>0.28999999165535001</v>
      </c>
      <c r="H241">
        <v>0.259999990463257</v>
      </c>
      <c r="I241">
        <v>3.8599998950958301</v>
      </c>
      <c r="J241">
        <v>0</v>
      </c>
      <c r="K241">
        <v>4</v>
      </c>
      <c r="L241">
        <v>6</v>
      </c>
      <c r="M241">
        <v>276</v>
      </c>
      <c r="N241">
        <v>1132</v>
      </c>
      <c r="O241">
        <v>2069</v>
      </c>
    </row>
    <row r="242" spans="1:15" x14ac:dyDescent="0.35">
      <c r="A242">
        <v>4319703577</v>
      </c>
      <c r="B242" s="1">
        <v>42469</v>
      </c>
      <c r="C242">
        <v>0</v>
      </c>
      <c r="D242">
        <v>0</v>
      </c>
      <c r="E242">
        <v>0</v>
      </c>
      <c r="F242">
        <v>0</v>
      </c>
      <c r="G242">
        <v>0</v>
      </c>
      <c r="H242">
        <v>0</v>
      </c>
      <c r="I242">
        <v>0</v>
      </c>
      <c r="J242">
        <v>0</v>
      </c>
      <c r="K242">
        <v>0</v>
      </c>
      <c r="L242">
        <v>0</v>
      </c>
      <c r="M242">
        <v>0</v>
      </c>
      <c r="N242">
        <v>1440</v>
      </c>
      <c r="O242">
        <v>0</v>
      </c>
    </row>
    <row r="243" spans="1:15" x14ac:dyDescent="0.35">
      <c r="A243">
        <v>4388161847</v>
      </c>
      <c r="B243" s="1">
        <v>42458</v>
      </c>
      <c r="C243">
        <v>0</v>
      </c>
      <c r="D243">
        <v>0</v>
      </c>
      <c r="E243">
        <v>0</v>
      </c>
      <c r="F243">
        <v>0</v>
      </c>
      <c r="G243">
        <v>0</v>
      </c>
      <c r="H243">
        <v>0</v>
      </c>
      <c r="I243">
        <v>0</v>
      </c>
      <c r="J243">
        <v>0</v>
      </c>
      <c r="K243">
        <v>0</v>
      </c>
      <c r="L243">
        <v>0</v>
      </c>
      <c r="M243">
        <v>0</v>
      </c>
      <c r="N243">
        <v>1440</v>
      </c>
      <c r="O243">
        <v>1878</v>
      </c>
    </row>
    <row r="244" spans="1:15" x14ac:dyDescent="0.35">
      <c r="A244">
        <v>4388161847</v>
      </c>
      <c r="B244" s="1">
        <v>42459</v>
      </c>
      <c r="C244">
        <v>0</v>
      </c>
      <c r="D244">
        <v>0</v>
      </c>
      <c r="E244">
        <v>0</v>
      </c>
      <c r="F244">
        <v>0</v>
      </c>
      <c r="G244">
        <v>0</v>
      </c>
      <c r="H244">
        <v>0</v>
      </c>
      <c r="I244">
        <v>0</v>
      </c>
      <c r="J244">
        <v>0</v>
      </c>
      <c r="K244">
        <v>0</v>
      </c>
      <c r="L244">
        <v>0</v>
      </c>
      <c r="M244">
        <v>0</v>
      </c>
      <c r="N244">
        <v>1440</v>
      </c>
      <c r="O244">
        <v>1878</v>
      </c>
    </row>
    <row r="245" spans="1:15" x14ac:dyDescent="0.35">
      <c r="A245">
        <v>4388161847</v>
      </c>
      <c r="B245" s="1">
        <v>42460</v>
      </c>
      <c r="C245">
        <v>0</v>
      </c>
      <c r="D245">
        <v>0</v>
      </c>
      <c r="E245">
        <v>0</v>
      </c>
      <c r="F245">
        <v>0</v>
      </c>
      <c r="G245">
        <v>0</v>
      </c>
      <c r="H245">
        <v>0</v>
      </c>
      <c r="I245">
        <v>0</v>
      </c>
      <c r="J245">
        <v>0</v>
      </c>
      <c r="K245">
        <v>0</v>
      </c>
      <c r="L245">
        <v>0</v>
      </c>
      <c r="M245">
        <v>0</v>
      </c>
      <c r="N245">
        <v>1440</v>
      </c>
      <c r="O245">
        <v>1878</v>
      </c>
    </row>
    <row r="246" spans="1:15" x14ac:dyDescent="0.35">
      <c r="A246">
        <v>4388161847</v>
      </c>
      <c r="B246" s="1">
        <v>42461</v>
      </c>
      <c r="C246">
        <v>0</v>
      </c>
      <c r="D246">
        <v>0</v>
      </c>
      <c r="E246">
        <v>0</v>
      </c>
      <c r="F246">
        <v>0</v>
      </c>
      <c r="G246">
        <v>0</v>
      </c>
      <c r="H246">
        <v>0</v>
      </c>
      <c r="I246">
        <v>0</v>
      </c>
      <c r="J246">
        <v>0</v>
      </c>
      <c r="K246">
        <v>0</v>
      </c>
      <c r="L246">
        <v>0</v>
      </c>
      <c r="M246">
        <v>0</v>
      </c>
      <c r="N246">
        <v>1440</v>
      </c>
      <c r="O246">
        <v>1878</v>
      </c>
    </row>
    <row r="247" spans="1:15" x14ac:dyDescent="0.35">
      <c r="A247">
        <v>4388161847</v>
      </c>
      <c r="B247" s="1">
        <v>42462</v>
      </c>
      <c r="C247">
        <v>0</v>
      </c>
      <c r="D247">
        <v>0</v>
      </c>
      <c r="E247">
        <v>0</v>
      </c>
      <c r="F247">
        <v>0</v>
      </c>
      <c r="G247">
        <v>0</v>
      </c>
      <c r="H247">
        <v>0</v>
      </c>
      <c r="I247">
        <v>0</v>
      </c>
      <c r="J247">
        <v>0</v>
      </c>
      <c r="K247">
        <v>0</v>
      </c>
      <c r="L247">
        <v>0</v>
      </c>
      <c r="M247">
        <v>0</v>
      </c>
      <c r="N247">
        <v>1440</v>
      </c>
      <c r="O247">
        <v>1878</v>
      </c>
    </row>
    <row r="248" spans="1:15" x14ac:dyDescent="0.35">
      <c r="A248">
        <v>4388161847</v>
      </c>
      <c r="B248" s="1">
        <v>42463</v>
      </c>
      <c r="C248">
        <v>0</v>
      </c>
      <c r="D248">
        <v>0</v>
      </c>
      <c r="E248">
        <v>0</v>
      </c>
      <c r="F248">
        <v>0</v>
      </c>
      <c r="G248">
        <v>0</v>
      </c>
      <c r="H248">
        <v>0</v>
      </c>
      <c r="I248">
        <v>0</v>
      </c>
      <c r="J248">
        <v>0</v>
      </c>
      <c r="K248">
        <v>0</v>
      </c>
      <c r="L248">
        <v>0</v>
      </c>
      <c r="M248">
        <v>0</v>
      </c>
      <c r="N248">
        <v>1440</v>
      </c>
      <c r="O248">
        <v>1878</v>
      </c>
    </row>
    <row r="249" spans="1:15" x14ac:dyDescent="0.35">
      <c r="A249">
        <v>4388161847</v>
      </c>
      <c r="B249" s="1">
        <v>42464</v>
      </c>
      <c r="C249">
        <v>0</v>
      </c>
      <c r="D249">
        <v>0</v>
      </c>
      <c r="E249">
        <v>0</v>
      </c>
      <c r="F249">
        <v>0</v>
      </c>
      <c r="G249">
        <v>0</v>
      </c>
      <c r="H249">
        <v>0</v>
      </c>
      <c r="I249">
        <v>0</v>
      </c>
      <c r="J249">
        <v>0</v>
      </c>
      <c r="K249">
        <v>0</v>
      </c>
      <c r="L249">
        <v>0</v>
      </c>
      <c r="M249">
        <v>0</v>
      </c>
      <c r="N249">
        <v>1440</v>
      </c>
      <c r="O249">
        <v>1878</v>
      </c>
    </row>
    <row r="250" spans="1:15" x14ac:dyDescent="0.35">
      <c r="A250">
        <v>4388161847</v>
      </c>
      <c r="B250" s="1">
        <v>42465</v>
      </c>
      <c r="C250">
        <v>0</v>
      </c>
      <c r="D250">
        <v>0</v>
      </c>
      <c r="E250">
        <v>0</v>
      </c>
      <c r="F250">
        <v>0</v>
      </c>
      <c r="G250">
        <v>0</v>
      </c>
      <c r="H250">
        <v>0</v>
      </c>
      <c r="I250">
        <v>0</v>
      </c>
      <c r="J250">
        <v>0</v>
      </c>
      <c r="K250">
        <v>0</v>
      </c>
      <c r="L250">
        <v>0</v>
      </c>
      <c r="M250">
        <v>0</v>
      </c>
      <c r="N250">
        <v>994</v>
      </c>
      <c r="O250">
        <v>1296</v>
      </c>
    </row>
    <row r="251" spans="1:15" x14ac:dyDescent="0.35">
      <c r="A251">
        <v>4445114986</v>
      </c>
      <c r="B251" s="1">
        <v>42458</v>
      </c>
      <c r="C251">
        <v>2303</v>
      </c>
      <c r="D251">
        <v>1.54999995231628</v>
      </c>
      <c r="E251">
        <v>1.54999995231628</v>
      </c>
      <c r="F251">
        <v>0</v>
      </c>
      <c r="G251">
        <v>0</v>
      </c>
      <c r="H251">
        <v>0</v>
      </c>
      <c r="I251">
        <v>1.54999995231628</v>
      </c>
      <c r="J251">
        <v>0</v>
      </c>
      <c r="K251">
        <v>0</v>
      </c>
      <c r="L251">
        <v>0</v>
      </c>
      <c r="M251">
        <v>155</v>
      </c>
      <c r="N251">
        <v>807</v>
      </c>
      <c r="O251">
        <v>2010</v>
      </c>
    </row>
    <row r="252" spans="1:15" x14ac:dyDescent="0.35">
      <c r="A252">
        <v>4445114986</v>
      </c>
      <c r="B252" s="1">
        <v>42459</v>
      </c>
      <c r="C252">
        <v>2600</v>
      </c>
      <c r="D252">
        <v>1.7400000095367401</v>
      </c>
      <c r="E252">
        <v>1.7400000095367401</v>
      </c>
      <c r="F252">
        <v>0</v>
      </c>
      <c r="G252">
        <v>0</v>
      </c>
      <c r="H252">
        <v>0</v>
      </c>
      <c r="I252">
        <v>1.7400000095367401</v>
      </c>
      <c r="J252">
        <v>0</v>
      </c>
      <c r="K252">
        <v>0</v>
      </c>
      <c r="L252">
        <v>0</v>
      </c>
      <c r="M252">
        <v>163</v>
      </c>
      <c r="N252">
        <v>1277</v>
      </c>
      <c r="O252">
        <v>2032</v>
      </c>
    </row>
    <row r="253" spans="1:15" x14ac:dyDescent="0.35">
      <c r="A253">
        <v>4445114986</v>
      </c>
      <c r="B253" s="1">
        <v>42460</v>
      </c>
      <c r="C253">
        <v>4804</v>
      </c>
      <c r="D253">
        <v>3.2200000286102299</v>
      </c>
      <c r="E253">
        <v>3.2200000286102299</v>
      </c>
      <c r="F253">
        <v>0</v>
      </c>
      <c r="G253">
        <v>0</v>
      </c>
      <c r="H253">
        <v>0</v>
      </c>
      <c r="I253">
        <v>3.2200000286102299</v>
      </c>
      <c r="J253">
        <v>0</v>
      </c>
      <c r="K253">
        <v>0</v>
      </c>
      <c r="L253">
        <v>0</v>
      </c>
      <c r="M253">
        <v>238</v>
      </c>
      <c r="N253">
        <v>786</v>
      </c>
      <c r="O253">
        <v>2227</v>
      </c>
    </row>
    <row r="254" spans="1:15" x14ac:dyDescent="0.35">
      <c r="A254">
        <v>4445114986</v>
      </c>
      <c r="B254" s="1">
        <v>42461</v>
      </c>
      <c r="C254">
        <v>3271</v>
      </c>
      <c r="D254">
        <v>2.1900000572204599</v>
      </c>
      <c r="E254">
        <v>2.1900000572204599</v>
      </c>
      <c r="F254">
        <v>0</v>
      </c>
      <c r="G254">
        <v>0</v>
      </c>
      <c r="H254">
        <v>0</v>
      </c>
      <c r="I254">
        <v>2.1900000572204599</v>
      </c>
      <c r="J254">
        <v>0</v>
      </c>
      <c r="K254">
        <v>0</v>
      </c>
      <c r="L254">
        <v>0</v>
      </c>
      <c r="M254">
        <v>205</v>
      </c>
      <c r="N254">
        <v>898</v>
      </c>
      <c r="O254">
        <v>2133</v>
      </c>
    </row>
    <row r="255" spans="1:15" x14ac:dyDescent="0.35">
      <c r="A255">
        <v>4445114986</v>
      </c>
      <c r="B255" s="1">
        <v>42462</v>
      </c>
      <c r="C255">
        <v>5406</v>
      </c>
      <c r="D255">
        <v>3.6300001144409202</v>
      </c>
      <c r="E255">
        <v>3.6300001144409202</v>
      </c>
      <c r="F255">
        <v>0</v>
      </c>
      <c r="G255">
        <v>0</v>
      </c>
      <c r="H255">
        <v>0</v>
      </c>
      <c r="I255">
        <v>3.6099998950958301</v>
      </c>
      <c r="J255">
        <v>0</v>
      </c>
      <c r="K255">
        <v>0</v>
      </c>
      <c r="L255">
        <v>0</v>
      </c>
      <c r="M255">
        <v>273</v>
      </c>
      <c r="N255">
        <v>672</v>
      </c>
      <c r="O255">
        <v>2317</v>
      </c>
    </row>
    <row r="256" spans="1:15" x14ac:dyDescent="0.35">
      <c r="A256">
        <v>4445114986</v>
      </c>
      <c r="B256" s="1">
        <v>42463</v>
      </c>
      <c r="C256">
        <v>3146</v>
      </c>
      <c r="D256">
        <v>2.1099998950958301</v>
      </c>
      <c r="E256">
        <v>2.1099998950958301</v>
      </c>
      <c r="F256">
        <v>0</v>
      </c>
      <c r="G256">
        <v>0</v>
      </c>
      <c r="H256">
        <v>0</v>
      </c>
      <c r="I256">
        <v>2.1099998950958301</v>
      </c>
      <c r="J256">
        <v>0</v>
      </c>
      <c r="K256">
        <v>0</v>
      </c>
      <c r="L256">
        <v>0</v>
      </c>
      <c r="M256">
        <v>171</v>
      </c>
      <c r="N256">
        <v>1269</v>
      </c>
      <c r="O256">
        <v>2058</v>
      </c>
    </row>
    <row r="257" spans="1:15" x14ac:dyDescent="0.35">
      <c r="A257">
        <v>4445114986</v>
      </c>
      <c r="B257" s="1">
        <v>42464</v>
      </c>
      <c r="C257">
        <v>2422</v>
      </c>
      <c r="D257">
        <v>1.62999999523163</v>
      </c>
      <c r="E257">
        <v>1.62999999523163</v>
      </c>
      <c r="F257">
        <v>0</v>
      </c>
      <c r="G257">
        <v>0</v>
      </c>
      <c r="H257">
        <v>0</v>
      </c>
      <c r="I257">
        <v>1.62999999523163</v>
      </c>
      <c r="J257">
        <v>0</v>
      </c>
      <c r="K257">
        <v>0</v>
      </c>
      <c r="L257">
        <v>0</v>
      </c>
      <c r="M257">
        <v>110</v>
      </c>
      <c r="N257">
        <v>1330</v>
      </c>
      <c r="O257">
        <v>1935</v>
      </c>
    </row>
    <row r="258" spans="1:15" x14ac:dyDescent="0.35">
      <c r="A258">
        <v>4445114986</v>
      </c>
      <c r="B258" s="1">
        <v>42465</v>
      </c>
      <c r="C258">
        <v>4239</v>
      </c>
      <c r="D258">
        <v>2.8399999141693102</v>
      </c>
      <c r="E258">
        <v>2.8399999141693102</v>
      </c>
      <c r="F258">
        <v>0</v>
      </c>
      <c r="G258">
        <v>5.9999998658895499E-2</v>
      </c>
      <c r="H258">
        <v>0.239999994635582</v>
      </c>
      <c r="I258">
        <v>2.5299999713897701</v>
      </c>
      <c r="J258">
        <v>0</v>
      </c>
      <c r="K258">
        <v>1</v>
      </c>
      <c r="L258">
        <v>6</v>
      </c>
      <c r="M258">
        <v>235</v>
      </c>
      <c r="N258">
        <v>702</v>
      </c>
      <c r="O258">
        <v>2217</v>
      </c>
    </row>
    <row r="259" spans="1:15" x14ac:dyDescent="0.35">
      <c r="A259">
        <v>4445114986</v>
      </c>
      <c r="B259" s="1">
        <v>42466</v>
      </c>
      <c r="C259">
        <v>6911</v>
      </c>
      <c r="D259">
        <v>4.7800002098083496</v>
      </c>
      <c r="E259">
        <v>4.7800002098083496</v>
      </c>
      <c r="F259">
        <v>0</v>
      </c>
      <c r="G259">
        <v>2.3199999332428001</v>
      </c>
      <c r="H259">
        <v>0.10000000149011599</v>
      </c>
      <c r="I259">
        <v>2.3599998950958301</v>
      </c>
      <c r="J259">
        <v>0</v>
      </c>
      <c r="K259">
        <v>28</v>
      </c>
      <c r="L259">
        <v>2</v>
      </c>
      <c r="M259">
        <v>215</v>
      </c>
      <c r="N259">
        <v>745</v>
      </c>
      <c r="O259">
        <v>2374</v>
      </c>
    </row>
    <row r="260" spans="1:15" x14ac:dyDescent="0.35">
      <c r="A260">
        <v>4445114986</v>
      </c>
      <c r="B260" s="1">
        <v>42467</v>
      </c>
      <c r="C260">
        <v>6667</v>
      </c>
      <c r="D260">
        <v>4.6100001335143999</v>
      </c>
      <c r="E260">
        <v>4.6100001335143999</v>
      </c>
      <c r="F260">
        <v>0</v>
      </c>
      <c r="G260">
        <v>2.0199999809265101</v>
      </c>
      <c r="H260">
        <v>5.0000000745058101E-2</v>
      </c>
      <c r="I260">
        <v>2.5499999523162802</v>
      </c>
      <c r="J260">
        <v>0</v>
      </c>
      <c r="K260">
        <v>24</v>
      </c>
      <c r="L260">
        <v>1</v>
      </c>
      <c r="M260">
        <v>208</v>
      </c>
      <c r="N260">
        <v>939</v>
      </c>
      <c r="O260">
        <v>2335</v>
      </c>
    </row>
    <row r="261" spans="1:15" x14ac:dyDescent="0.35">
      <c r="A261">
        <v>4445114986</v>
      </c>
      <c r="B261" s="1">
        <v>42468</v>
      </c>
      <c r="C261">
        <v>5543</v>
      </c>
      <c r="D261">
        <v>3.7200000286102299</v>
      </c>
      <c r="E261">
        <v>3.7200000286102299</v>
      </c>
      <c r="F261">
        <v>0</v>
      </c>
      <c r="G261">
        <v>0</v>
      </c>
      <c r="H261">
        <v>0</v>
      </c>
      <c r="I261">
        <v>3.7200000286102299</v>
      </c>
      <c r="J261">
        <v>0</v>
      </c>
      <c r="K261">
        <v>0</v>
      </c>
      <c r="L261">
        <v>0</v>
      </c>
      <c r="M261">
        <v>266</v>
      </c>
      <c r="N261">
        <v>941</v>
      </c>
      <c r="O261">
        <v>2303</v>
      </c>
    </row>
    <row r="262" spans="1:15" x14ac:dyDescent="0.35">
      <c r="A262">
        <v>4445114986</v>
      </c>
      <c r="B262" s="1">
        <v>42469</v>
      </c>
      <c r="C262">
        <v>4195</v>
      </c>
      <c r="D262">
        <v>2.8099999427795401</v>
      </c>
      <c r="E262">
        <v>2.8099999427795401</v>
      </c>
      <c r="F262">
        <v>0</v>
      </c>
      <c r="G262">
        <v>0</v>
      </c>
      <c r="H262">
        <v>0</v>
      </c>
      <c r="I262">
        <v>2.8099999427795401</v>
      </c>
      <c r="J262">
        <v>0</v>
      </c>
      <c r="K262">
        <v>0</v>
      </c>
      <c r="L262">
        <v>0</v>
      </c>
      <c r="M262">
        <v>239</v>
      </c>
      <c r="N262">
        <v>758</v>
      </c>
      <c r="O262">
        <v>2210</v>
      </c>
    </row>
    <row r="263" spans="1:15" x14ac:dyDescent="0.35">
      <c r="A263">
        <v>4445114986</v>
      </c>
      <c r="B263" s="1">
        <v>42470</v>
      </c>
      <c r="C263">
        <v>6625</v>
      </c>
      <c r="D263">
        <v>4.4499998092651403</v>
      </c>
      <c r="E263">
        <v>4.4499998092651403</v>
      </c>
      <c r="F263">
        <v>0</v>
      </c>
      <c r="G263">
        <v>0</v>
      </c>
      <c r="H263">
        <v>0</v>
      </c>
      <c r="I263">
        <v>4.4499998092651403</v>
      </c>
      <c r="J263">
        <v>0</v>
      </c>
      <c r="K263">
        <v>0</v>
      </c>
      <c r="L263">
        <v>0</v>
      </c>
      <c r="M263">
        <v>316</v>
      </c>
      <c r="N263">
        <v>755</v>
      </c>
      <c r="O263">
        <v>2424</v>
      </c>
    </row>
    <row r="264" spans="1:15" x14ac:dyDescent="0.35">
      <c r="A264">
        <v>4445114986</v>
      </c>
      <c r="B264" s="1">
        <v>42471</v>
      </c>
      <c r="C264">
        <v>5986</v>
      </c>
      <c r="D264">
        <v>4.1300001144409197</v>
      </c>
      <c r="E264">
        <v>4.1300001144409197</v>
      </c>
      <c r="F264">
        <v>0</v>
      </c>
      <c r="G264">
        <v>1.95000004768372</v>
      </c>
      <c r="H264">
        <v>0.230000004172325</v>
      </c>
      <c r="I264">
        <v>1.95000004768372</v>
      </c>
      <c r="J264">
        <v>0</v>
      </c>
      <c r="K264">
        <v>23</v>
      </c>
      <c r="L264">
        <v>5</v>
      </c>
      <c r="M264">
        <v>195</v>
      </c>
      <c r="N264">
        <v>789</v>
      </c>
      <c r="O264">
        <v>2297</v>
      </c>
    </row>
    <row r="265" spans="1:15" x14ac:dyDescent="0.35">
      <c r="A265">
        <v>4445114986</v>
      </c>
      <c r="B265" s="1">
        <v>42472</v>
      </c>
      <c r="C265">
        <v>278</v>
      </c>
      <c r="D265">
        <v>0.18999999761581399</v>
      </c>
      <c r="E265">
        <v>0.18999999761581399</v>
      </c>
      <c r="F265">
        <v>0</v>
      </c>
      <c r="G265">
        <v>0</v>
      </c>
      <c r="H265">
        <v>0</v>
      </c>
      <c r="I265">
        <v>0.18999999761581399</v>
      </c>
      <c r="J265">
        <v>0</v>
      </c>
      <c r="K265">
        <v>0</v>
      </c>
      <c r="L265">
        <v>0</v>
      </c>
      <c r="M265">
        <v>20</v>
      </c>
      <c r="N265">
        <v>253</v>
      </c>
      <c r="O265">
        <v>745</v>
      </c>
    </row>
    <row r="266" spans="1:15" x14ac:dyDescent="0.35">
      <c r="A266">
        <v>4558609924</v>
      </c>
      <c r="B266" s="1">
        <v>42461</v>
      </c>
      <c r="C266">
        <v>5336</v>
      </c>
      <c r="D266">
        <v>3.5299999713897701</v>
      </c>
      <c r="E266">
        <v>3.5299999713897701</v>
      </c>
      <c r="F266">
        <v>0</v>
      </c>
      <c r="G266">
        <v>0</v>
      </c>
      <c r="H266">
        <v>0</v>
      </c>
      <c r="I266">
        <v>3.5299999713897701</v>
      </c>
      <c r="J266">
        <v>0</v>
      </c>
      <c r="K266">
        <v>0</v>
      </c>
      <c r="L266">
        <v>0</v>
      </c>
      <c r="M266">
        <v>258</v>
      </c>
      <c r="N266">
        <v>1182</v>
      </c>
      <c r="O266">
        <v>1902</v>
      </c>
    </row>
    <row r="267" spans="1:15" x14ac:dyDescent="0.35">
      <c r="A267">
        <v>4558609924</v>
      </c>
      <c r="B267" s="1">
        <v>42462</v>
      </c>
      <c r="C267">
        <v>3183</v>
      </c>
      <c r="D267">
        <v>2.0999999046325701</v>
      </c>
      <c r="E267">
        <v>2.0999999046325701</v>
      </c>
      <c r="F267">
        <v>0</v>
      </c>
      <c r="G267">
        <v>0</v>
      </c>
      <c r="H267">
        <v>0</v>
      </c>
      <c r="I267">
        <v>2.0999999046325701</v>
      </c>
      <c r="J267">
        <v>0</v>
      </c>
      <c r="K267">
        <v>0</v>
      </c>
      <c r="L267">
        <v>0</v>
      </c>
      <c r="M267">
        <v>173</v>
      </c>
      <c r="N267">
        <v>1180</v>
      </c>
      <c r="O267">
        <v>1680</v>
      </c>
    </row>
    <row r="268" spans="1:15" x14ac:dyDescent="0.35">
      <c r="A268">
        <v>4558609924</v>
      </c>
      <c r="B268" s="1">
        <v>42463</v>
      </c>
      <c r="C268">
        <v>6176</v>
      </c>
      <c r="D268">
        <v>4.0799999237060502</v>
      </c>
      <c r="E268">
        <v>4.0799999237060502</v>
      </c>
      <c r="F268">
        <v>0</v>
      </c>
      <c r="G268">
        <v>7.0000000298023196E-2</v>
      </c>
      <c r="H268">
        <v>0.259999990463257</v>
      </c>
      <c r="I268">
        <v>3.75</v>
      </c>
      <c r="J268">
        <v>0</v>
      </c>
      <c r="K268">
        <v>1</v>
      </c>
      <c r="L268">
        <v>7</v>
      </c>
      <c r="M268">
        <v>269</v>
      </c>
      <c r="N268">
        <v>886</v>
      </c>
      <c r="O268">
        <v>1901</v>
      </c>
    </row>
    <row r="269" spans="1:15" x14ac:dyDescent="0.35">
      <c r="A269">
        <v>4558609924</v>
      </c>
      <c r="B269" s="1">
        <v>42464</v>
      </c>
      <c r="C269">
        <v>8205</v>
      </c>
      <c r="D269">
        <v>5.4200000762939498</v>
      </c>
      <c r="E269">
        <v>5.4200000762939498</v>
      </c>
      <c r="F269">
        <v>0</v>
      </c>
      <c r="G269">
        <v>0</v>
      </c>
      <c r="H269">
        <v>0</v>
      </c>
      <c r="I269">
        <v>5.4200000762939498</v>
      </c>
      <c r="J269">
        <v>0</v>
      </c>
      <c r="K269">
        <v>0</v>
      </c>
      <c r="L269">
        <v>0</v>
      </c>
      <c r="M269">
        <v>367</v>
      </c>
      <c r="N269">
        <v>1073</v>
      </c>
      <c r="O269">
        <v>2078</v>
      </c>
    </row>
    <row r="270" spans="1:15" x14ac:dyDescent="0.35">
      <c r="A270">
        <v>4558609924</v>
      </c>
      <c r="B270" s="1">
        <v>42465</v>
      </c>
      <c r="C270">
        <v>6799</v>
      </c>
      <c r="D270">
        <v>4.4899997711181596</v>
      </c>
      <c r="E270">
        <v>4.4899997711181596</v>
      </c>
      <c r="F270">
        <v>0</v>
      </c>
      <c r="G270">
        <v>1.5900000333786</v>
      </c>
      <c r="H270">
        <v>0.86000001430511497</v>
      </c>
      <c r="I270">
        <v>2.03999996185303</v>
      </c>
      <c r="J270">
        <v>0</v>
      </c>
      <c r="K270">
        <v>24</v>
      </c>
      <c r="L270">
        <v>14</v>
      </c>
      <c r="M270">
        <v>185</v>
      </c>
      <c r="N270">
        <v>1217</v>
      </c>
      <c r="O270">
        <v>1876</v>
      </c>
    </row>
    <row r="271" spans="1:15" x14ac:dyDescent="0.35">
      <c r="A271">
        <v>4558609924</v>
      </c>
      <c r="B271" s="1">
        <v>42466</v>
      </c>
      <c r="C271">
        <v>5668</v>
      </c>
      <c r="D271">
        <v>3.75</v>
      </c>
      <c r="E271">
        <v>3.75</v>
      </c>
      <c r="F271">
        <v>0</v>
      </c>
      <c r="G271">
        <v>0</v>
      </c>
      <c r="H271">
        <v>0</v>
      </c>
      <c r="I271">
        <v>3.75</v>
      </c>
      <c r="J271">
        <v>0</v>
      </c>
      <c r="K271">
        <v>0</v>
      </c>
      <c r="L271">
        <v>0</v>
      </c>
      <c r="M271">
        <v>259</v>
      </c>
      <c r="N271">
        <v>1181</v>
      </c>
      <c r="O271">
        <v>1853</v>
      </c>
    </row>
    <row r="272" spans="1:15" x14ac:dyDescent="0.35">
      <c r="A272">
        <v>4558609924</v>
      </c>
      <c r="B272" s="1">
        <v>42467</v>
      </c>
      <c r="C272">
        <v>7998</v>
      </c>
      <c r="D272">
        <v>5.28999996185303</v>
      </c>
      <c r="E272">
        <v>5.28999996185303</v>
      </c>
      <c r="F272">
        <v>0</v>
      </c>
      <c r="G272">
        <v>0.50999999046325695</v>
      </c>
      <c r="H272">
        <v>0.25</v>
      </c>
      <c r="I272">
        <v>4.5300002098083496</v>
      </c>
      <c r="J272">
        <v>0</v>
      </c>
      <c r="K272">
        <v>27</v>
      </c>
      <c r="L272">
        <v>12</v>
      </c>
      <c r="M272">
        <v>296</v>
      </c>
      <c r="N272">
        <v>1105</v>
      </c>
      <c r="O272">
        <v>2235</v>
      </c>
    </row>
    <row r="273" spans="1:15" x14ac:dyDescent="0.35">
      <c r="A273">
        <v>4558609924</v>
      </c>
      <c r="B273" s="1">
        <v>42468</v>
      </c>
      <c r="C273">
        <v>4195</v>
      </c>
      <c r="D273">
        <v>2.7699999809265101</v>
      </c>
      <c r="E273">
        <v>2.7699999809265101</v>
      </c>
      <c r="F273">
        <v>0</v>
      </c>
      <c r="G273">
        <v>0</v>
      </c>
      <c r="H273">
        <v>0</v>
      </c>
      <c r="I273">
        <v>2.7699999809265101</v>
      </c>
      <c r="J273">
        <v>0</v>
      </c>
      <c r="K273">
        <v>0</v>
      </c>
      <c r="L273">
        <v>0</v>
      </c>
      <c r="M273">
        <v>241</v>
      </c>
      <c r="N273">
        <v>1199</v>
      </c>
      <c r="O273">
        <v>1778</v>
      </c>
    </row>
    <row r="274" spans="1:15" x14ac:dyDescent="0.35">
      <c r="A274">
        <v>4558609924</v>
      </c>
      <c r="B274" s="1">
        <v>42469</v>
      </c>
      <c r="C274">
        <v>5512</v>
      </c>
      <c r="D274">
        <v>3.6400001049041699</v>
      </c>
      <c r="E274">
        <v>3.6400001049041699</v>
      </c>
      <c r="F274">
        <v>0</v>
      </c>
      <c r="G274">
        <v>0</v>
      </c>
      <c r="H274">
        <v>0</v>
      </c>
      <c r="I274">
        <v>3.6400001049041699</v>
      </c>
      <c r="J274">
        <v>0</v>
      </c>
      <c r="K274">
        <v>0</v>
      </c>
      <c r="L274">
        <v>0</v>
      </c>
      <c r="M274">
        <v>276</v>
      </c>
      <c r="N274">
        <v>1164</v>
      </c>
      <c r="O274">
        <v>1882</v>
      </c>
    </row>
    <row r="275" spans="1:15" x14ac:dyDescent="0.35">
      <c r="A275">
        <v>4558609924</v>
      </c>
      <c r="B275" s="1">
        <v>42470</v>
      </c>
      <c r="C275">
        <v>6263</v>
      </c>
      <c r="D275">
        <v>4.1399998664856001</v>
      </c>
      <c r="E275">
        <v>4.1399998664856001</v>
      </c>
      <c r="F275">
        <v>0</v>
      </c>
      <c r="G275">
        <v>0</v>
      </c>
      <c r="H275">
        <v>0</v>
      </c>
      <c r="I275">
        <v>4.1300001144409197</v>
      </c>
      <c r="J275">
        <v>0</v>
      </c>
      <c r="K275">
        <v>0</v>
      </c>
      <c r="L275">
        <v>0</v>
      </c>
      <c r="M275">
        <v>290</v>
      </c>
      <c r="N275">
        <v>1150</v>
      </c>
      <c r="O275">
        <v>1906</v>
      </c>
    </row>
    <row r="276" spans="1:15" x14ac:dyDescent="0.35">
      <c r="A276">
        <v>4558609924</v>
      </c>
      <c r="B276" s="1">
        <v>42471</v>
      </c>
      <c r="C276">
        <v>8828</v>
      </c>
      <c r="D276">
        <v>5.8400001525878897</v>
      </c>
      <c r="E276">
        <v>5.8400001525878897</v>
      </c>
      <c r="F276">
        <v>0</v>
      </c>
      <c r="G276">
        <v>0</v>
      </c>
      <c r="H276">
        <v>0</v>
      </c>
      <c r="I276">
        <v>5.8400001525878897</v>
      </c>
      <c r="J276">
        <v>0</v>
      </c>
      <c r="K276">
        <v>0</v>
      </c>
      <c r="L276">
        <v>0</v>
      </c>
      <c r="M276">
        <v>308</v>
      </c>
      <c r="N276">
        <v>1132</v>
      </c>
      <c r="O276">
        <v>2149</v>
      </c>
    </row>
    <row r="277" spans="1:15" x14ac:dyDescent="0.35">
      <c r="A277">
        <v>4558609924</v>
      </c>
      <c r="B277" s="1">
        <v>42472</v>
      </c>
      <c r="C277">
        <v>1260</v>
      </c>
      <c r="D277">
        <v>0.82999998331069902</v>
      </c>
      <c r="E277">
        <v>0.82999998331069902</v>
      </c>
      <c r="F277">
        <v>0</v>
      </c>
      <c r="G277">
        <v>0</v>
      </c>
      <c r="H277">
        <v>0</v>
      </c>
      <c r="I277">
        <v>0.81999999284744296</v>
      </c>
      <c r="J277">
        <v>0</v>
      </c>
      <c r="K277">
        <v>0</v>
      </c>
      <c r="L277">
        <v>0</v>
      </c>
      <c r="M277">
        <v>76</v>
      </c>
      <c r="N277">
        <v>555</v>
      </c>
      <c r="O277">
        <v>722</v>
      </c>
    </row>
    <row r="278" spans="1:15" x14ac:dyDescent="0.35">
      <c r="A278">
        <v>4702921684</v>
      </c>
      <c r="B278" s="1">
        <v>42458</v>
      </c>
      <c r="C278">
        <v>6506</v>
      </c>
      <c r="D278">
        <v>5.2800002098083496</v>
      </c>
      <c r="E278">
        <v>5.2800002098083496</v>
      </c>
      <c r="F278">
        <v>0</v>
      </c>
      <c r="G278">
        <v>0.33000001311302202</v>
      </c>
      <c r="H278">
        <v>0.270000010728836</v>
      </c>
      <c r="I278">
        <v>4.6700000762939498</v>
      </c>
      <c r="J278">
        <v>0</v>
      </c>
      <c r="K278">
        <v>4</v>
      </c>
      <c r="L278">
        <v>5</v>
      </c>
      <c r="M278">
        <v>241</v>
      </c>
      <c r="N278">
        <v>760</v>
      </c>
      <c r="O278">
        <v>2886</v>
      </c>
    </row>
    <row r="279" spans="1:15" x14ac:dyDescent="0.35">
      <c r="A279">
        <v>4702921684</v>
      </c>
      <c r="B279" s="1">
        <v>42459</v>
      </c>
      <c r="C279">
        <v>7583</v>
      </c>
      <c r="D279">
        <v>6.1500000953674299</v>
      </c>
      <c r="E279">
        <v>6.1500000953674299</v>
      </c>
      <c r="F279">
        <v>0</v>
      </c>
      <c r="G279">
        <v>0.25</v>
      </c>
      <c r="H279">
        <v>0.55000001192092896</v>
      </c>
      <c r="I279">
        <v>5.3499999046325701</v>
      </c>
      <c r="J279">
        <v>0</v>
      </c>
      <c r="K279">
        <v>3</v>
      </c>
      <c r="L279">
        <v>13</v>
      </c>
      <c r="M279">
        <v>227</v>
      </c>
      <c r="N279">
        <v>742</v>
      </c>
      <c r="O279">
        <v>2915</v>
      </c>
    </row>
    <row r="280" spans="1:15" x14ac:dyDescent="0.35">
      <c r="A280">
        <v>4702921684</v>
      </c>
      <c r="B280" s="1">
        <v>42460</v>
      </c>
      <c r="C280">
        <v>6963</v>
      </c>
      <c r="D280">
        <v>5.6500000953674299</v>
      </c>
      <c r="E280">
        <v>5.6500000953674299</v>
      </c>
      <c r="F280">
        <v>0</v>
      </c>
      <c r="G280">
        <v>0</v>
      </c>
      <c r="H280">
        <v>0</v>
      </c>
      <c r="I280">
        <v>5.6500000953674299</v>
      </c>
      <c r="J280">
        <v>0</v>
      </c>
      <c r="K280">
        <v>0</v>
      </c>
      <c r="L280">
        <v>0</v>
      </c>
      <c r="M280">
        <v>256</v>
      </c>
      <c r="N280">
        <v>759</v>
      </c>
      <c r="O280">
        <v>2895</v>
      </c>
    </row>
    <row r="281" spans="1:15" x14ac:dyDescent="0.35">
      <c r="A281">
        <v>4702921684</v>
      </c>
      <c r="B281" s="1">
        <v>42461</v>
      </c>
      <c r="C281">
        <v>7165</v>
      </c>
      <c r="D281">
        <v>5.8099999427795401</v>
      </c>
      <c r="E281">
        <v>5.8099999427795401</v>
      </c>
      <c r="F281">
        <v>0</v>
      </c>
      <c r="G281">
        <v>0</v>
      </c>
      <c r="H281">
        <v>0.37000000476837203</v>
      </c>
      <c r="I281">
        <v>5.4400000572204599</v>
      </c>
      <c r="J281">
        <v>0</v>
      </c>
      <c r="K281">
        <v>0</v>
      </c>
      <c r="L281">
        <v>9</v>
      </c>
      <c r="M281">
        <v>248</v>
      </c>
      <c r="N281">
        <v>708</v>
      </c>
      <c r="O281">
        <v>2923</v>
      </c>
    </row>
    <row r="282" spans="1:15" x14ac:dyDescent="0.35">
      <c r="A282">
        <v>4702921684</v>
      </c>
      <c r="B282" s="1">
        <v>42462</v>
      </c>
      <c r="C282">
        <v>10328</v>
      </c>
      <c r="D282">
        <v>8.3800001144409197</v>
      </c>
      <c r="E282">
        <v>8.3800001144409197</v>
      </c>
      <c r="F282">
        <v>0</v>
      </c>
      <c r="G282">
        <v>0</v>
      </c>
      <c r="H282">
        <v>1.46000003814697</v>
      </c>
      <c r="I282">
        <v>6.9200000762939498</v>
      </c>
      <c r="J282">
        <v>0</v>
      </c>
      <c r="K282">
        <v>0</v>
      </c>
      <c r="L282">
        <v>32</v>
      </c>
      <c r="M282">
        <v>367</v>
      </c>
      <c r="N282">
        <v>475</v>
      </c>
      <c r="O282">
        <v>3323</v>
      </c>
    </row>
    <row r="283" spans="1:15" x14ac:dyDescent="0.35">
      <c r="A283">
        <v>4702921684</v>
      </c>
      <c r="B283" s="1">
        <v>42463</v>
      </c>
      <c r="C283">
        <v>12116</v>
      </c>
      <c r="D283">
        <v>9.8299999237060494</v>
      </c>
      <c r="E283">
        <v>9.8299999237060494</v>
      </c>
      <c r="F283">
        <v>0</v>
      </c>
      <c r="G283">
        <v>0.25</v>
      </c>
      <c r="H283">
        <v>2.8499999046325701</v>
      </c>
      <c r="I283">
        <v>6.7199997901916504</v>
      </c>
      <c r="J283">
        <v>0</v>
      </c>
      <c r="K283">
        <v>3</v>
      </c>
      <c r="L283">
        <v>57</v>
      </c>
      <c r="M283">
        <v>323</v>
      </c>
      <c r="N283">
        <v>471</v>
      </c>
      <c r="O283">
        <v>3357</v>
      </c>
    </row>
    <row r="284" spans="1:15" x14ac:dyDescent="0.35">
      <c r="A284">
        <v>4702921684</v>
      </c>
      <c r="B284" s="1">
        <v>42464</v>
      </c>
      <c r="C284">
        <v>7810</v>
      </c>
      <c r="D284">
        <v>6.3600001335143999</v>
      </c>
      <c r="E284">
        <v>6.3600001335143999</v>
      </c>
      <c r="F284">
        <v>0</v>
      </c>
      <c r="G284">
        <v>0.479999989271164</v>
      </c>
      <c r="H284">
        <v>1.20000004768372</v>
      </c>
      <c r="I284">
        <v>4.6799998283386204</v>
      </c>
      <c r="J284">
        <v>0</v>
      </c>
      <c r="K284">
        <v>6</v>
      </c>
      <c r="L284">
        <v>27</v>
      </c>
      <c r="M284">
        <v>216</v>
      </c>
      <c r="N284">
        <v>746</v>
      </c>
      <c r="O284">
        <v>2931</v>
      </c>
    </row>
    <row r="285" spans="1:15" x14ac:dyDescent="0.35">
      <c r="A285">
        <v>4702921684</v>
      </c>
      <c r="B285" s="1">
        <v>42465</v>
      </c>
      <c r="C285">
        <v>6670</v>
      </c>
      <c r="D285">
        <v>5.4099998474121103</v>
      </c>
      <c r="E285">
        <v>5.4099998474121103</v>
      </c>
      <c r="F285">
        <v>0</v>
      </c>
      <c r="G285">
        <v>1.2400000095367401</v>
      </c>
      <c r="H285">
        <v>0.80000001192092896</v>
      </c>
      <c r="I285">
        <v>3.3699998855590798</v>
      </c>
      <c r="J285">
        <v>0</v>
      </c>
      <c r="K285">
        <v>15</v>
      </c>
      <c r="L285">
        <v>16</v>
      </c>
      <c r="M285">
        <v>199</v>
      </c>
      <c r="N285">
        <v>770</v>
      </c>
      <c r="O285">
        <v>2848</v>
      </c>
    </row>
    <row r="286" spans="1:15" x14ac:dyDescent="0.35">
      <c r="A286">
        <v>4702921684</v>
      </c>
      <c r="B286" s="1">
        <v>42466</v>
      </c>
      <c r="C286">
        <v>7605</v>
      </c>
      <c r="D286">
        <v>6.1799998283386204</v>
      </c>
      <c r="E286">
        <v>6.1799998283386204</v>
      </c>
      <c r="F286">
        <v>0</v>
      </c>
      <c r="G286">
        <v>0.33000001311302202</v>
      </c>
      <c r="H286">
        <v>0.20999999344348899</v>
      </c>
      <c r="I286">
        <v>5.6300001144409197</v>
      </c>
      <c r="J286">
        <v>0</v>
      </c>
      <c r="K286">
        <v>4</v>
      </c>
      <c r="L286">
        <v>4</v>
      </c>
      <c r="M286">
        <v>248</v>
      </c>
      <c r="N286">
        <v>708</v>
      </c>
      <c r="O286">
        <v>2943</v>
      </c>
    </row>
    <row r="287" spans="1:15" x14ac:dyDescent="0.35">
      <c r="A287">
        <v>4702921684</v>
      </c>
      <c r="B287" s="1">
        <v>42467</v>
      </c>
      <c r="C287">
        <v>6585</v>
      </c>
      <c r="D287">
        <v>5.3400001525878897</v>
      </c>
      <c r="E287">
        <v>5.3400001525878897</v>
      </c>
      <c r="F287">
        <v>0</v>
      </c>
      <c r="G287">
        <v>0</v>
      </c>
      <c r="H287">
        <v>0</v>
      </c>
      <c r="I287">
        <v>5.3400001525878897</v>
      </c>
      <c r="J287">
        <v>0</v>
      </c>
      <c r="K287">
        <v>0</v>
      </c>
      <c r="L287">
        <v>0</v>
      </c>
      <c r="M287">
        <v>210</v>
      </c>
      <c r="N287">
        <v>770</v>
      </c>
      <c r="O287">
        <v>2822</v>
      </c>
    </row>
    <row r="288" spans="1:15" x14ac:dyDescent="0.35">
      <c r="A288">
        <v>4702921684</v>
      </c>
      <c r="B288" s="1">
        <v>42468</v>
      </c>
      <c r="C288">
        <v>8184</v>
      </c>
      <c r="D288">
        <v>6.6399998664856001</v>
      </c>
      <c r="E288">
        <v>6.6399998664856001</v>
      </c>
      <c r="F288">
        <v>0</v>
      </c>
      <c r="G288">
        <v>0</v>
      </c>
      <c r="H288">
        <v>0.62000000476837203</v>
      </c>
      <c r="I288">
        <v>5.9499998092651403</v>
      </c>
      <c r="J288">
        <v>0</v>
      </c>
      <c r="K288">
        <v>0</v>
      </c>
      <c r="L288">
        <v>15</v>
      </c>
      <c r="M288">
        <v>247</v>
      </c>
      <c r="N288">
        <v>808</v>
      </c>
      <c r="O288">
        <v>2981</v>
      </c>
    </row>
    <row r="289" spans="1:15" x14ac:dyDescent="0.35">
      <c r="A289">
        <v>4702921684</v>
      </c>
      <c r="B289" s="1">
        <v>42469</v>
      </c>
      <c r="C289">
        <v>14002</v>
      </c>
      <c r="D289">
        <v>11.3599996566772</v>
      </c>
      <c r="E289">
        <v>11.3599996566772</v>
      </c>
      <c r="F289">
        <v>0</v>
      </c>
      <c r="G289">
        <v>0.61000001430511497</v>
      </c>
      <c r="H289">
        <v>2.6800000667571999</v>
      </c>
      <c r="I289">
        <v>8.0600004196166992</v>
      </c>
      <c r="J289">
        <v>0</v>
      </c>
      <c r="K289">
        <v>8</v>
      </c>
      <c r="L289">
        <v>56</v>
      </c>
      <c r="M289">
        <v>381</v>
      </c>
      <c r="N289">
        <v>407</v>
      </c>
      <c r="O289">
        <v>3597</v>
      </c>
    </row>
    <row r="290" spans="1:15" x14ac:dyDescent="0.35">
      <c r="A290">
        <v>4702921684</v>
      </c>
      <c r="B290" s="1">
        <v>42470</v>
      </c>
      <c r="C290">
        <v>11135</v>
      </c>
      <c r="D290">
        <v>9.0299997329711896</v>
      </c>
      <c r="E290">
        <v>9.0299997329711896</v>
      </c>
      <c r="F290">
        <v>0</v>
      </c>
      <c r="G290">
        <v>7.9999998211860698E-2</v>
      </c>
      <c r="H290">
        <v>1.1599999666214</v>
      </c>
      <c r="I290">
        <v>7.78999996185303</v>
      </c>
      <c r="J290">
        <v>0</v>
      </c>
      <c r="K290">
        <v>1</v>
      </c>
      <c r="L290">
        <v>25</v>
      </c>
      <c r="M290">
        <v>331</v>
      </c>
      <c r="N290">
        <v>528</v>
      </c>
      <c r="O290">
        <v>3224</v>
      </c>
    </row>
    <row r="291" spans="1:15" x14ac:dyDescent="0.35">
      <c r="A291">
        <v>4702921684</v>
      </c>
      <c r="B291" s="1">
        <v>42471</v>
      </c>
      <c r="C291">
        <v>6499</v>
      </c>
      <c r="D291">
        <v>5.2699999809265101</v>
      </c>
      <c r="E291">
        <v>5.2699999809265101</v>
      </c>
      <c r="F291">
        <v>0</v>
      </c>
      <c r="G291">
        <v>0</v>
      </c>
      <c r="H291">
        <v>0</v>
      </c>
      <c r="I291">
        <v>5.2699999809265101</v>
      </c>
      <c r="J291">
        <v>0</v>
      </c>
      <c r="K291">
        <v>0</v>
      </c>
      <c r="L291">
        <v>0</v>
      </c>
      <c r="M291">
        <v>207</v>
      </c>
      <c r="N291">
        <v>809</v>
      </c>
      <c r="O291">
        <v>2677</v>
      </c>
    </row>
    <row r="292" spans="1:15" x14ac:dyDescent="0.35">
      <c r="A292">
        <v>4702921684</v>
      </c>
      <c r="B292" s="1">
        <v>42472</v>
      </c>
      <c r="C292">
        <v>0</v>
      </c>
      <c r="D292">
        <v>0</v>
      </c>
      <c r="E292">
        <v>0</v>
      </c>
      <c r="F292">
        <v>0</v>
      </c>
      <c r="G292">
        <v>0</v>
      </c>
      <c r="H292">
        <v>0</v>
      </c>
      <c r="I292">
        <v>0</v>
      </c>
      <c r="J292">
        <v>0</v>
      </c>
      <c r="K292">
        <v>0</v>
      </c>
      <c r="L292">
        <v>0</v>
      </c>
      <c r="M292">
        <v>0</v>
      </c>
      <c r="N292">
        <v>1440</v>
      </c>
      <c r="O292">
        <v>0</v>
      </c>
    </row>
    <row r="293" spans="1:15" x14ac:dyDescent="0.35">
      <c r="A293">
        <v>5553957443</v>
      </c>
      <c r="B293" s="1">
        <v>42461</v>
      </c>
      <c r="C293">
        <v>12409</v>
      </c>
      <c r="D293">
        <v>8.1000003814697301</v>
      </c>
      <c r="E293">
        <v>8.1000003814697301</v>
      </c>
      <c r="F293">
        <v>0</v>
      </c>
      <c r="G293">
        <v>2.9000000953674299</v>
      </c>
      <c r="H293">
        <v>0.62999999523162797</v>
      </c>
      <c r="I293">
        <v>4.5799999237060502</v>
      </c>
      <c r="J293">
        <v>0</v>
      </c>
      <c r="K293">
        <v>51</v>
      </c>
      <c r="L293">
        <v>12</v>
      </c>
      <c r="M293">
        <v>235</v>
      </c>
      <c r="N293">
        <v>782</v>
      </c>
      <c r="O293">
        <v>2142</v>
      </c>
    </row>
    <row r="294" spans="1:15" x14ac:dyDescent="0.35">
      <c r="A294">
        <v>5553957443</v>
      </c>
      <c r="B294" s="1">
        <v>42462</v>
      </c>
      <c r="C294">
        <v>2937</v>
      </c>
      <c r="D294">
        <v>1.91999995708466</v>
      </c>
      <c r="E294">
        <v>1.91999995708466</v>
      </c>
      <c r="F294">
        <v>0</v>
      </c>
      <c r="G294">
        <v>0</v>
      </c>
      <c r="H294">
        <v>0</v>
      </c>
      <c r="I294">
        <v>1.9099999666214</v>
      </c>
      <c r="J294">
        <v>0</v>
      </c>
      <c r="K294">
        <v>0</v>
      </c>
      <c r="L294">
        <v>0</v>
      </c>
      <c r="M294">
        <v>181</v>
      </c>
      <c r="N294">
        <v>356</v>
      </c>
      <c r="O294">
        <v>1615</v>
      </c>
    </row>
    <row r="295" spans="1:15" x14ac:dyDescent="0.35">
      <c r="A295">
        <v>5553957443</v>
      </c>
      <c r="B295" s="1">
        <v>42463</v>
      </c>
      <c r="C295">
        <v>1515</v>
      </c>
      <c r="D295">
        <v>0.99000000953674305</v>
      </c>
      <c r="E295">
        <v>0.99000000953674305</v>
      </c>
      <c r="F295">
        <v>0</v>
      </c>
      <c r="G295">
        <v>0</v>
      </c>
      <c r="H295">
        <v>0</v>
      </c>
      <c r="I295">
        <v>0.99000000953674305</v>
      </c>
      <c r="J295">
        <v>0</v>
      </c>
      <c r="K295">
        <v>0</v>
      </c>
      <c r="L295">
        <v>0</v>
      </c>
      <c r="M295">
        <v>93</v>
      </c>
      <c r="N295">
        <v>507</v>
      </c>
      <c r="O295">
        <v>1481</v>
      </c>
    </row>
    <row r="296" spans="1:15" x14ac:dyDescent="0.35">
      <c r="A296">
        <v>5553957443</v>
      </c>
      <c r="B296" s="1">
        <v>42464</v>
      </c>
      <c r="C296">
        <v>8921</v>
      </c>
      <c r="D296">
        <v>5.8800001144409197</v>
      </c>
      <c r="E296">
        <v>5.8800001144409197</v>
      </c>
      <c r="F296">
        <v>0</v>
      </c>
      <c r="G296">
        <v>2.0699999332428001</v>
      </c>
      <c r="H296">
        <v>0.43999999761581399</v>
      </c>
      <c r="I296">
        <v>3.3599998950958301</v>
      </c>
      <c r="J296">
        <v>0</v>
      </c>
      <c r="K296">
        <v>27</v>
      </c>
      <c r="L296">
        <v>8</v>
      </c>
      <c r="M296">
        <v>198</v>
      </c>
      <c r="N296">
        <v>754</v>
      </c>
      <c r="O296">
        <v>1892</v>
      </c>
    </row>
    <row r="297" spans="1:15" x14ac:dyDescent="0.35">
      <c r="A297">
        <v>5553957443</v>
      </c>
      <c r="B297" s="1">
        <v>42465</v>
      </c>
      <c r="C297">
        <v>11306</v>
      </c>
      <c r="D297">
        <v>7.3800001144409197</v>
      </c>
      <c r="E297">
        <v>7.3800001144409197</v>
      </c>
      <c r="F297">
        <v>0</v>
      </c>
      <c r="G297">
        <v>2.3099999427795401</v>
      </c>
      <c r="H297">
        <v>0.980000019073486</v>
      </c>
      <c r="I297">
        <v>4.0900001525878897</v>
      </c>
      <c r="J297">
        <v>0</v>
      </c>
      <c r="K297">
        <v>40</v>
      </c>
      <c r="L297">
        <v>26</v>
      </c>
      <c r="M297">
        <v>218</v>
      </c>
      <c r="N297">
        <v>772</v>
      </c>
      <c r="O297">
        <v>2086</v>
      </c>
    </row>
    <row r="298" spans="1:15" x14ac:dyDescent="0.35">
      <c r="A298">
        <v>5553957443</v>
      </c>
      <c r="B298" s="1">
        <v>42466</v>
      </c>
      <c r="C298">
        <v>12252</v>
      </c>
      <c r="D298">
        <v>8</v>
      </c>
      <c r="E298">
        <v>8</v>
      </c>
      <c r="F298">
        <v>0</v>
      </c>
      <c r="G298">
        <v>2.4100000858306898</v>
      </c>
      <c r="H298">
        <v>1.70000004768372</v>
      </c>
      <c r="I298">
        <v>3.8900001049041699</v>
      </c>
      <c r="J298">
        <v>0</v>
      </c>
      <c r="K298">
        <v>33</v>
      </c>
      <c r="L298">
        <v>28</v>
      </c>
      <c r="M298">
        <v>229</v>
      </c>
      <c r="N298">
        <v>745</v>
      </c>
      <c r="O298">
        <v>2044</v>
      </c>
    </row>
    <row r="299" spans="1:15" x14ac:dyDescent="0.35">
      <c r="A299">
        <v>5553957443</v>
      </c>
      <c r="B299" s="1">
        <v>42467</v>
      </c>
      <c r="C299">
        <v>15444</v>
      </c>
      <c r="D299">
        <v>10.079999923706101</v>
      </c>
      <c r="E299">
        <v>10.079999923706101</v>
      </c>
      <c r="F299">
        <v>0</v>
      </c>
      <c r="G299">
        <v>3.2699999809265101</v>
      </c>
      <c r="H299">
        <v>1.7300000190734901</v>
      </c>
      <c r="I299">
        <v>5.0799999237060502</v>
      </c>
      <c r="J299">
        <v>0</v>
      </c>
      <c r="K299">
        <v>51</v>
      </c>
      <c r="L299">
        <v>39</v>
      </c>
      <c r="M299">
        <v>243</v>
      </c>
      <c r="N299">
        <v>731</v>
      </c>
      <c r="O299">
        <v>2249</v>
      </c>
    </row>
    <row r="300" spans="1:15" x14ac:dyDescent="0.35">
      <c r="A300">
        <v>5553957443</v>
      </c>
      <c r="B300" s="1">
        <v>42468</v>
      </c>
      <c r="C300">
        <v>9938</v>
      </c>
      <c r="D300">
        <v>6.4899997711181596</v>
      </c>
      <c r="E300">
        <v>6.4899997711181596</v>
      </c>
      <c r="F300">
        <v>0</v>
      </c>
      <c r="G300">
        <v>2.1400001049041699</v>
      </c>
      <c r="H300">
        <v>1.2799999713897701</v>
      </c>
      <c r="I300">
        <v>3.0799999237060498</v>
      </c>
      <c r="J300">
        <v>0</v>
      </c>
      <c r="K300">
        <v>38</v>
      </c>
      <c r="L300">
        <v>24</v>
      </c>
      <c r="M300">
        <v>193</v>
      </c>
      <c r="N300">
        <v>767</v>
      </c>
      <c r="O300">
        <v>2019</v>
      </c>
    </row>
    <row r="301" spans="1:15" x14ac:dyDescent="0.35">
      <c r="A301">
        <v>5553957443</v>
      </c>
      <c r="B301" s="1">
        <v>42469</v>
      </c>
      <c r="C301">
        <v>4599</v>
      </c>
      <c r="D301">
        <v>3</v>
      </c>
      <c r="E301">
        <v>3</v>
      </c>
      <c r="F301">
        <v>0</v>
      </c>
      <c r="G301">
        <v>0</v>
      </c>
      <c r="H301">
        <v>0</v>
      </c>
      <c r="I301">
        <v>3</v>
      </c>
      <c r="J301">
        <v>0</v>
      </c>
      <c r="K301">
        <v>0</v>
      </c>
      <c r="L301">
        <v>0</v>
      </c>
      <c r="M301">
        <v>176</v>
      </c>
      <c r="N301">
        <v>578</v>
      </c>
      <c r="O301">
        <v>1692</v>
      </c>
    </row>
    <row r="302" spans="1:15" x14ac:dyDescent="0.35">
      <c r="A302">
        <v>5553957443</v>
      </c>
      <c r="B302" s="1">
        <v>42470</v>
      </c>
      <c r="C302">
        <v>5594</v>
      </c>
      <c r="D302">
        <v>3.6500000953674299</v>
      </c>
      <c r="E302">
        <v>3.6500000953674299</v>
      </c>
      <c r="F302">
        <v>0</v>
      </c>
      <c r="G302">
        <v>0.28000000119209301</v>
      </c>
      <c r="H302">
        <v>1.4800000190734901</v>
      </c>
      <c r="I302">
        <v>1.8899999856948899</v>
      </c>
      <c r="J302">
        <v>0</v>
      </c>
      <c r="K302">
        <v>4</v>
      </c>
      <c r="L302">
        <v>25</v>
      </c>
      <c r="M302">
        <v>150</v>
      </c>
      <c r="N302">
        <v>552</v>
      </c>
      <c r="O302">
        <v>1712</v>
      </c>
    </row>
    <row r="303" spans="1:15" x14ac:dyDescent="0.35">
      <c r="A303">
        <v>5553957443</v>
      </c>
      <c r="B303" s="1">
        <v>42471</v>
      </c>
      <c r="C303">
        <v>11906</v>
      </c>
      <c r="D303">
        <v>7.7699999809265101</v>
      </c>
      <c r="E303">
        <v>7.7699999809265101</v>
      </c>
      <c r="F303">
        <v>0</v>
      </c>
      <c r="G303">
        <v>2.2599999904632599</v>
      </c>
      <c r="H303">
        <v>1.5199999809265099</v>
      </c>
      <c r="I303">
        <v>3.9900000095367401</v>
      </c>
      <c r="J303">
        <v>0</v>
      </c>
      <c r="K303">
        <v>32</v>
      </c>
      <c r="L303">
        <v>27</v>
      </c>
      <c r="M303">
        <v>234</v>
      </c>
      <c r="N303">
        <v>688</v>
      </c>
      <c r="O303">
        <v>2065</v>
      </c>
    </row>
    <row r="304" spans="1:15" x14ac:dyDescent="0.35">
      <c r="A304">
        <v>5553957443</v>
      </c>
      <c r="B304" s="1">
        <v>42472</v>
      </c>
      <c r="C304">
        <v>3436</v>
      </c>
      <c r="D304">
        <v>2.2400000095367401</v>
      </c>
      <c r="E304">
        <v>2.2400000095367401</v>
      </c>
      <c r="F304">
        <v>0</v>
      </c>
      <c r="G304">
        <v>0.5</v>
      </c>
      <c r="H304">
        <v>0.67000001668930098</v>
      </c>
      <c r="I304">
        <v>1.04999995231628</v>
      </c>
      <c r="J304">
        <v>0</v>
      </c>
      <c r="K304">
        <v>7</v>
      </c>
      <c r="L304">
        <v>11</v>
      </c>
      <c r="M304">
        <v>50</v>
      </c>
      <c r="N304">
        <v>61</v>
      </c>
      <c r="O304">
        <v>633</v>
      </c>
    </row>
    <row r="305" spans="1:15" x14ac:dyDescent="0.35">
      <c r="A305">
        <v>5577150313</v>
      </c>
      <c r="B305" s="1">
        <v>42461</v>
      </c>
      <c r="C305">
        <v>10461</v>
      </c>
      <c r="D305">
        <v>7.8699998855590803</v>
      </c>
      <c r="E305">
        <v>7.8699998855590803</v>
      </c>
      <c r="F305">
        <v>0</v>
      </c>
      <c r="G305">
        <v>4.7600002288818404</v>
      </c>
      <c r="H305">
        <v>0.85000002384185802</v>
      </c>
      <c r="I305">
        <v>2.25</v>
      </c>
      <c r="J305">
        <v>0</v>
      </c>
      <c r="K305">
        <v>99</v>
      </c>
      <c r="L305">
        <v>31</v>
      </c>
      <c r="M305">
        <v>142</v>
      </c>
      <c r="N305">
        <v>721</v>
      </c>
      <c r="O305">
        <v>3625</v>
      </c>
    </row>
    <row r="306" spans="1:15" x14ac:dyDescent="0.35">
      <c r="A306">
        <v>5577150313</v>
      </c>
      <c r="B306" s="1">
        <v>42462</v>
      </c>
      <c r="C306">
        <v>14873</v>
      </c>
      <c r="D306">
        <v>11.1099996566772</v>
      </c>
      <c r="E306">
        <v>11.1099996566772</v>
      </c>
      <c r="F306">
        <v>0</v>
      </c>
      <c r="G306">
        <v>8.1899995803833008</v>
      </c>
      <c r="H306">
        <v>0.60000002384185802</v>
      </c>
      <c r="I306">
        <v>2.3099999427795401</v>
      </c>
      <c r="J306">
        <v>0</v>
      </c>
      <c r="K306">
        <v>202</v>
      </c>
      <c r="L306">
        <v>36</v>
      </c>
      <c r="M306">
        <v>153</v>
      </c>
      <c r="N306">
        <v>663</v>
      </c>
      <c r="O306">
        <v>4430</v>
      </c>
    </row>
    <row r="307" spans="1:15" x14ac:dyDescent="0.35">
      <c r="A307">
        <v>5577150313</v>
      </c>
      <c r="B307" s="1">
        <v>42463</v>
      </c>
      <c r="C307">
        <v>9917</v>
      </c>
      <c r="D307">
        <v>7.4099998474121103</v>
      </c>
      <c r="E307">
        <v>7.4099998474121103</v>
      </c>
      <c r="F307">
        <v>0</v>
      </c>
      <c r="G307">
        <v>1.9900000095367401</v>
      </c>
      <c r="H307">
        <v>0.97000002861022905</v>
      </c>
      <c r="I307">
        <v>4.4400000572204599</v>
      </c>
      <c r="J307">
        <v>0</v>
      </c>
      <c r="K307">
        <v>58</v>
      </c>
      <c r="L307">
        <v>27</v>
      </c>
      <c r="M307">
        <v>240</v>
      </c>
      <c r="N307">
        <v>700</v>
      </c>
      <c r="O307">
        <v>3427</v>
      </c>
    </row>
    <row r="308" spans="1:15" x14ac:dyDescent="0.35">
      <c r="A308">
        <v>5577150313</v>
      </c>
      <c r="B308" s="1">
        <v>42464</v>
      </c>
      <c r="C308">
        <v>7401</v>
      </c>
      <c r="D308">
        <v>5.5599999427795401</v>
      </c>
      <c r="E308">
        <v>5.5599999427795401</v>
      </c>
      <c r="F308">
        <v>0</v>
      </c>
      <c r="G308">
        <v>2.3199999332428001</v>
      </c>
      <c r="H308">
        <v>0.36000001430511502</v>
      </c>
      <c r="I308">
        <v>2.8800001144409202</v>
      </c>
      <c r="J308">
        <v>0</v>
      </c>
      <c r="K308">
        <v>70</v>
      </c>
      <c r="L308">
        <v>19</v>
      </c>
      <c r="M308">
        <v>204</v>
      </c>
      <c r="N308">
        <v>689</v>
      </c>
      <c r="O308">
        <v>3492</v>
      </c>
    </row>
    <row r="309" spans="1:15" x14ac:dyDescent="0.35">
      <c r="A309">
        <v>5577150313</v>
      </c>
      <c r="B309" s="1">
        <v>42465</v>
      </c>
      <c r="C309">
        <v>8964</v>
      </c>
      <c r="D309">
        <v>6.6999998092651403</v>
      </c>
      <c r="E309">
        <v>6.6999998092651403</v>
      </c>
      <c r="F309">
        <v>0</v>
      </c>
      <c r="G309">
        <v>3.9700000286102299</v>
      </c>
      <c r="H309">
        <v>0.18999999761581399</v>
      </c>
      <c r="I309">
        <v>2.5299999713897701</v>
      </c>
      <c r="J309">
        <v>0</v>
      </c>
      <c r="K309">
        <v>107</v>
      </c>
      <c r="L309">
        <v>18</v>
      </c>
      <c r="M309">
        <v>145</v>
      </c>
      <c r="N309">
        <v>756</v>
      </c>
      <c r="O309">
        <v>3597</v>
      </c>
    </row>
    <row r="310" spans="1:15" x14ac:dyDescent="0.35">
      <c r="A310">
        <v>5577150313</v>
      </c>
      <c r="B310" s="1">
        <v>42466</v>
      </c>
      <c r="C310">
        <v>11080</v>
      </c>
      <c r="D310">
        <v>8.3000001907348597</v>
      </c>
      <c r="E310">
        <v>8.3000001907348597</v>
      </c>
      <c r="F310">
        <v>0</v>
      </c>
      <c r="G310">
        <v>3.1300001144409202</v>
      </c>
      <c r="H310">
        <v>1.37000000476837</v>
      </c>
      <c r="I310">
        <v>3.8099999427795401</v>
      </c>
      <c r="J310">
        <v>0</v>
      </c>
      <c r="K310">
        <v>83</v>
      </c>
      <c r="L310">
        <v>52</v>
      </c>
      <c r="M310">
        <v>190</v>
      </c>
      <c r="N310">
        <v>695</v>
      </c>
      <c r="O310">
        <v>3765</v>
      </c>
    </row>
    <row r="311" spans="1:15" x14ac:dyDescent="0.35">
      <c r="A311">
        <v>5577150313</v>
      </c>
      <c r="B311" s="1">
        <v>42467</v>
      </c>
      <c r="C311">
        <v>4499</v>
      </c>
      <c r="D311">
        <v>3.3599998950958301</v>
      </c>
      <c r="E311">
        <v>3.3599998950958301</v>
      </c>
      <c r="F311">
        <v>0</v>
      </c>
      <c r="G311">
        <v>0.88999998569488503</v>
      </c>
      <c r="H311">
        <v>0.259999990463257</v>
      </c>
      <c r="I311">
        <v>2.21000003814697</v>
      </c>
      <c r="J311">
        <v>0</v>
      </c>
      <c r="K311">
        <v>31</v>
      </c>
      <c r="L311">
        <v>11</v>
      </c>
      <c r="M311">
        <v>146</v>
      </c>
      <c r="N311">
        <v>756</v>
      </c>
      <c r="O311">
        <v>2775</v>
      </c>
    </row>
    <row r="312" spans="1:15" x14ac:dyDescent="0.35">
      <c r="A312">
        <v>5577150313</v>
      </c>
      <c r="B312" s="1">
        <v>42468</v>
      </c>
      <c r="C312">
        <v>4363</v>
      </c>
      <c r="D312">
        <v>3.2599999904632599</v>
      </c>
      <c r="E312">
        <v>3.2599999904632599</v>
      </c>
      <c r="F312">
        <v>0</v>
      </c>
      <c r="G312">
        <v>0.129999995231628</v>
      </c>
      <c r="H312">
        <v>5.9999998658895499E-2</v>
      </c>
      <c r="I312">
        <v>3.0799999237060498</v>
      </c>
      <c r="J312">
        <v>0</v>
      </c>
      <c r="K312">
        <v>8</v>
      </c>
      <c r="L312">
        <v>2</v>
      </c>
      <c r="M312">
        <v>156</v>
      </c>
      <c r="N312">
        <v>813</v>
      </c>
      <c r="O312">
        <v>2486</v>
      </c>
    </row>
    <row r="313" spans="1:15" x14ac:dyDescent="0.35">
      <c r="A313">
        <v>5577150313</v>
      </c>
      <c r="B313" s="1">
        <v>42469</v>
      </c>
      <c r="C313">
        <v>10494</v>
      </c>
      <c r="D313">
        <v>7.8400001525878897</v>
      </c>
      <c r="E313">
        <v>7.8400001525878897</v>
      </c>
      <c r="F313">
        <v>0</v>
      </c>
      <c r="G313">
        <v>4.9099998474121103</v>
      </c>
      <c r="H313">
        <v>0.77999997138977095</v>
      </c>
      <c r="I313">
        <v>2.1500000953674299</v>
      </c>
      <c r="J313">
        <v>0</v>
      </c>
      <c r="K313">
        <v>123</v>
      </c>
      <c r="L313">
        <v>62</v>
      </c>
      <c r="M313">
        <v>138</v>
      </c>
      <c r="N313">
        <v>601</v>
      </c>
      <c r="O313">
        <v>3817</v>
      </c>
    </row>
    <row r="314" spans="1:15" x14ac:dyDescent="0.35">
      <c r="A314">
        <v>5577150313</v>
      </c>
      <c r="B314" s="1">
        <v>42470</v>
      </c>
      <c r="C314">
        <v>9776</v>
      </c>
      <c r="D314">
        <v>7.3800001144409197</v>
      </c>
      <c r="E314">
        <v>7.3800001144409197</v>
      </c>
      <c r="F314">
        <v>0</v>
      </c>
      <c r="G314">
        <v>2.9300000667571999</v>
      </c>
      <c r="H314">
        <v>1.4299999475479099</v>
      </c>
      <c r="I314">
        <v>3.0199999809265101</v>
      </c>
      <c r="J314">
        <v>0</v>
      </c>
      <c r="K314">
        <v>80</v>
      </c>
      <c r="L314">
        <v>35</v>
      </c>
      <c r="M314">
        <v>162</v>
      </c>
      <c r="N314">
        <v>721</v>
      </c>
      <c r="O314">
        <v>3378</v>
      </c>
    </row>
    <row r="315" spans="1:15" x14ac:dyDescent="0.35">
      <c r="A315">
        <v>5577150313</v>
      </c>
      <c r="B315" s="1">
        <v>42471</v>
      </c>
      <c r="C315">
        <v>2862</v>
      </c>
      <c r="D315">
        <v>2.1400001049041699</v>
      </c>
      <c r="E315">
        <v>2.1400001049041699</v>
      </c>
      <c r="F315">
        <v>0</v>
      </c>
      <c r="G315">
        <v>1.03999996185303</v>
      </c>
      <c r="H315">
        <v>0.25</v>
      </c>
      <c r="I315">
        <v>0.83999997377395597</v>
      </c>
      <c r="J315">
        <v>0</v>
      </c>
      <c r="K315">
        <v>39</v>
      </c>
      <c r="L315">
        <v>17</v>
      </c>
      <c r="M315">
        <v>54</v>
      </c>
      <c r="N315">
        <v>209</v>
      </c>
      <c r="O315">
        <v>1511</v>
      </c>
    </row>
    <row r="316" spans="1:15" x14ac:dyDescent="0.35">
      <c r="A316">
        <v>6117666160</v>
      </c>
      <c r="B316" s="1">
        <v>42461</v>
      </c>
      <c r="C316">
        <v>7444</v>
      </c>
      <c r="D316">
        <v>5.6199998855590803</v>
      </c>
      <c r="E316">
        <v>5.6199998855590803</v>
      </c>
      <c r="F316">
        <v>0</v>
      </c>
      <c r="G316">
        <v>0</v>
      </c>
      <c r="H316">
        <v>0</v>
      </c>
      <c r="I316">
        <v>5.6199998855590803</v>
      </c>
      <c r="J316">
        <v>0</v>
      </c>
      <c r="K316">
        <v>0</v>
      </c>
      <c r="L316">
        <v>0</v>
      </c>
      <c r="M316">
        <v>286</v>
      </c>
      <c r="N316">
        <v>568</v>
      </c>
      <c r="O316">
        <v>2210</v>
      </c>
    </row>
    <row r="317" spans="1:15" x14ac:dyDescent="0.35">
      <c r="A317">
        <v>6117666160</v>
      </c>
      <c r="B317" s="1">
        <v>42462</v>
      </c>
      <c r="C317">
        <v>19658</v>
      </c>
      <c r="D317">
        <v>14.8400001525879</v>
      </c>
      <c r="E317">
        <v>14.8400001525879</v>
      </c>
      <c r="F317">
        <v>0</v>
      </c>
      <c r="G317">
        <v>0.239999994635582</v>
      </c>
      <c r="H317">
        <v>2.0899999141693102</v>
      </c>
      <c r="I317">
        <v>12.5100002288818</v>
      </c>
      <c r="J317">
        <v>0</v>
      </c>
      <c r="K317">
        <v>3</v>
      </c>
      <c r="L317">
        <v>30</v>
      </c>
      <c r="M317">
        <v>475</v>
      </c>
      <c r="N317">
        <v>466</v>
      </c>
      <c r="O317">
        <v>2884</v>
      </c>
    </row>
    <row r="318" spans="1:15" x14ac:dyDescent="0.35">
      <c r="A318">
        <v>6117666160</v>
      </c>
      <c r="B318" s="1">
        <v>42463</v>
      </c>
      <c r="C318">
        <v>0</v>
      </c>
      <c r="D318">
        <v>0</v>
      </c>
      <c r="E318">
        <v>0</v>
      </c>
      <c r="F318">
        <v>0</v>
      </c>
      <c r="G318">
        <v>0</v>
      </c>
      <c r="H318">
        <v>0</v>
      </c>
      <c r="I318">
        <v>0</v>
      </c>
      <c r="J318">
        <v>0</v>
      </c>
      <c r="K318">
        <v>0</v>
      </c>
      <c r="L318">
        <v>0</v>
      </c>
      <c r="M318">
        <v>0</v>
      </c>
      <c r="N318">
        <v>1440</v>
      </c>
      <c r="O318">
        <v>1496</v>
      </c>
    </row>
    <row r="319" spans="1:15" x14ac:dyDescent="0.35">
      <c r="A319">
        <v>6117666160</v>
      </c>
      <c r="B319" s="1">
        <v>42464</v>
      </c>
      <c r="C319">
        <v>8468</v>
      </c>
      <c r="D319">
        <v>6.3899998664856001</v>
      </c>
      <c r="E319">
        <v>6.3899998664856001</v>
      </c>
      <c r="F319">
        <v>0</v>
      </c>
      <c r="G319">
        <v>0.18000000715255701</v>
      </c>
      <c r="H319">
        <v>0.63999998569488503</v>
      </c>
      <c r="I319">
        <v>5.5700001716613796</v>
      </c>
      <c r="J319">
        <v>0</v>
      </c>
      <c r="K319">
        <v>2</v>
      </c>
      <c r="L319">
        <v>11</v>
      </c>
      <c r="M319">
        <v>279</v>
      </c>
      <c r="N319">
        <v>1148</v>
      </c>
      <c r="O319">
        <v>2262</v>
      </c>
    </row>
    <row r="320" spans="1:15" x14ac:dyDescent="0.35">
      <c r="A320">
        <v>6117666160</v>
      </c>
      <c r="B320" s="1">
        <v>42465</v>
      </c>
      <c r="C320">
        <v>9910</v>
      </c>
      <c r="D320">
        <v>7.4800000190734899</v>
      </c>
      <c r="E320">
        <v>7.4800000190734899</v>
      </c>
      <c r="F320">
        <v>0</v>
      </c>
      <c r="G320">
        <v>0</v>
      </c>
      <c r="H320">
        <v>0</v>
      </c>
      <c r="I320">
        <v>7.4800000190734899</v>
      </c>
      <c r="J320">
        <v>0</v>
      </c>
      <c r="K320">
        <v>0</v>
      </c>
      <c r="L320">
        <v>0</v>
      </c>
      <c r="M320">
        <v>384</v>
      </c>
      <c r="N320">
        <v>990</v>
      </c>
      <c r="O320">
        <v>2445</v>
      </c>
    </row>
    <row r="321" spans="1:15" x14ac:dyDescent="0.35">
      <c r="A321">
        <v>6117666160</v>
      </c>
      <c r="B321" s="1">
        <v>42466</v>
      </c>
      <c r="C321">
        <v>12409</v>
      </c>
      <c r="D321">
        <v>9.3699998855590803</v>
      </c>
      <c r="E321">
        <v>9.3699998855590803</v>
      </c>
      <c r="F321">
        <v>0</v>
      </c>
      <c r="G321">
        <v>0</v>
      </c>
      <c r="H321">
        <v>0</v>
      </c>
      <c r="I321">
        <v>9.3699998855590803</v>
      </c>
      <c r="J321">
        <v>0</v>
      </c>
      <c r="K321">
        <v>0</v>
      </c>
      <c r="L321">
        <v>0</v>
      </c>
      <c r="M321">
        <v>491</v>
      </c>
      <c r="N321">
        <v>388</v>
      </c>
      <c r="O321">
        <v>2694</v>
      </c>
    </row>
    <row r="322" spans="1:15" x14ac:dyDescent="0.35">
      <c r="A322">
        <v>6117666160</v>
      </c>
      <c r="B322" s="1">
        <v>42467</v>
      </c>
      <c r="C322">
        <v>4853</v>
      </c>
      <c r="D322">
        <v>3.6600000858306898</v>
      </c>
      <c r="E322">
        <v>3.6600000858306898</v>
      </c>
      <c r="F322">
        <v>0</v>
      </c>
      <c r="G322">
        <v>0</v>
      </c>
      <c r="H322">
        <v>0</v>
      </c>
      <c r="I322">
        <v>3.6600000858306898</v>
      </c>
      <c r="J322">
        <v>0</v>
      </c>
      <c r="K322">
        <v>0</v>
      </c>
      <c r="L322">
        <v>0</v>
      </c>
      <c r="M322">
        <v>156</v>
      </c>
      <c r="N322">
        <v>770</v>
      </c>
      <c r="O322">
        <v>1903</v>
      </c>
    </row>
    <row r="323" spans="1:15" x14ac:dyDescent="0.35">
      <c r="A323">
        <v>6117666160</v>
      </c>
      <c r="B323" s="1">
        <v>42468</v>
      </c>
      <c r="C323">
        <v>8955</v>
      </c>
      <c r="D323">
        <v>6.7600002288818404</v>
      </c>
      <c r="E323">
        <v>6.7600002288818404</v>
      </c>
      <c r="F323">
        <v>0</v>
      </c>
      <c r="G323">
        <v>0</v>
      </c>
      <c r="H323">
        <v>0</v>
      </c>
      <c r="I323">
        <v>6.7300000190734899</v>
      </c>
      <c r="J323">
        <v>0</v>
      </c>
      <c r="K323">
        <v>0</v>
      </c>
      <c r="L323">
        <v>0</v>
      </c>
      <c r="M323">
        <v>422</v>
      </c>
      <c r="N323">
        <v>1018</v>
      </c>
      <c r="O323">
        <v>2482</v>
      </c>
    </row>
    <row r="324" spans="1:15" x14ac:dyDescent="0.35">
      <c r="A324">
        <v>6117666160</v>
      </c>
      <c r="B324" s="1">
        <v>42469</v>
      </c>
      <c r="C324">
        <v>10789</v>
      </c>
      <c r="D324">
        <v>8.1499996185302699</v>
      </c>
      <c r="E324">
        <v>8.1499996185302699</v>
      </c>
      <c r="F324">
        <v>0</v>
      </c>
      <c r="G324">
        <v>0</v>
      </c>
      <c r="H324">
        <v>0</v>
      </c>
      <c r="I324">
        <v>8.1499996185302699</v>
      </c>
      <c r="J324">
        <v>0</v>
      </c>
      <c r="K324">
        <v>0</v>
      </c>
      <c r="L324">
        <v>0</v>
      </c>
      <c r="M324">
        <v>506</v>
      </c>
      <c r="N324">
        <v>413</v>
      </c>
      <c r="O324">
        <v>2617</v>
      </c>
    </row>
    <row r="325" spans="1:15" x14ac:dyDescent="0.35">
      <c r="A325">
        <v>6117666160</v>
      </c>
      <c r="B325" s="1">
        <v>42470</v>
      </c>
      <c r="C325">
        <v>0</v>
      </c>
      <c r="D325">
        <v>0</v>
      </c>
      <c r="E325">
        <v>0</v>
      </c>
      <c r="F325">
        <v>0</v>
      </c>
      <c r="G325">
        <v>0</v>
      </c>
      <c r="H325">
        <v>0</v>
      </c>
      <c r="I325">
        <v>0</v>
      </c>
      <c r="J325">
        <v>0</v>
      </c>
      <c r="K325">
        <v>0</v>
      </c>
      <c r="L325">
        <v>0</v>
      </c>
      <c r="M325">
        <v>0</v>
      </c>
      <c r="N325">
        <v>1440</v>
      </c>
      <c r="O325">
        <v>0</v>
      </c>
    </row>
    <row r="326" spans="1:15" x14ac:dyDescent="0.35">
      <c r="A326">
        <v>6290855005</v>
      </c>
      <c r="B326" s="1">
        <v>42461</v>
      </c>
      <c r="C326">
        <v>6633</v>
      </c>
      <c r="D326">
        <v>5.0100002288818404</v>
      </c>
      <c r="E326">
        <v>5.0100002288818404</v>
      </c>
      <c r="F326">
        <v>0</v>
      </c>
      <c r="G326">
        <v>0</v>
      </c>
      <c r="H326">
        <v>0</v>
      </c>
      <c r="I326">
        <v>5.0100002288818404</v>
      </c>
      <c r="J326">
        <v>0</v>
      </c>
      <c r="K326">
        <v>0</v>
      </c>
      <c r="L326">
        <v>0</v>
      </c>
      <c r="M326">
        <v>280</v>
      </c>
      <c r="N326">
        <v>1160</v>
      </c>
      <c r="O326">
        <v>2778</v>
      </c>
    </row>
    <row r="327" spans="1:15" x14ac:dyDescent="0.35">
      <c r="A327">
        <v>6290855005</v>
      </c>
      <c r="B327" s="1">
        <v>42462</v>
      </c>
      <c r="C327">
        <v>9548</v>
      </c>
      <c r="D327">
        <v>7.2199997901916504</v>
      </c>
      <c r="E327">
        <v>7.2199997901916504</v>
      </c>
      <c r="F327">
        <v>0</v>
      </c>
      <c r="G327">
        <v>2.0199999809265101</v>
      </c>
      <c r="H327">
        <v>3.6800000667571999</v>
      </c>
      <c r="I327">
        <v>1.5199999809265099</v>
      </c>
      <c r="J327">
        <v>0</v>
      </c>
      <c r="K327">
        <v>25</v>
      </c>
      <c r="L327">
        <v>107</v>
      </c>
      <c r="M327">
        <v>113</v>
      </c>
      <c r="N327">
        <v>1195</v>
      </c>
      <c r="O327">
        <v>3119</v>
      </c>
    </row>
    <row r="328" spans="1:15" x14ac:dyDescent="0.35">
      <c r="A328">
        <v>6290855005</v>
      </c>
      <c r="B328" s="1">
        <v>42463</v>
      </c>
      <c r="C328">
        <v>0</v>
      </c>
      <c r="D328">
        <v>0</v>
      </c>
      <c r="E328">
        <v>0</v>
      </c>
      <c r="F328">
        <v>0</v>
      </c>
      <c r="G328">
        <v>0</v>
      </c>
      <c r="H328">
        <v>0</v>
      </c>
      <c r="I328">
        <v>0</v>
      </c>
      <c r="J328">
        <v>0</v>
      </c>
      <c r="K328">
        <v>33</v>
      </c>
      <c r="L328">
        <v>0</v>
      </c>
      <c r="M328">
        <v>0</v>
      </c>
      <c r="N328">
        <v>1407</v>
      </c>
      <c r="O328">
        <v>2664</v>
      </c>
    </row>
    <row r="329" spans="1:15" x14ac:dyDescent="0.35">
      <c r="A329">
        <v>6290855005</v>
      </c>
      <c r="B329" s="1">
        <v>42464</v>
      </c>
      <c r="C329">
        <v>0</v>
      </c>
      <c r="D329">
        <v>0</v>
      </c>
      <c r="E329">
        <v>0</v>
      </c>
      <c r="F329">
        <v>0</v>
      </c>
      <c r="G329">
        <v>0</v>
      </c>
      <c r="H329">
        <v>0</v>
      </c>
      <c r="I329">
        <v>0</v>
      </c>
      <c r="J329">
        <v>0</v>
      </c>
      <c r="K329">
        <v>0</v>
      </c>
      <c r="L329">
        <v>0</v>
      </c>
      <c r="M329">
        <v>0</v>
      </c>
      <c r="N329">
        <v>1440</v>
      </c>
      <c r="O329">
        <v>2060</v>
      </c>
    </row>
    <row r="330" spans="1:15" x14ac:dyDescent="0.35">
      <c r="A330">
        <v>6290855005</v>
      </c>
      <c r="B330" s="1">
        <v>42465</v>
      </c>
      <c r="C330">
        <v>0</v>
      </c>
      <c r="D330">
        <v>0</v>
      </c>
      <c r="E330">
        <v>0</v>
      </c>
      <c r="F330">
        <v>0</v>
      </c>
      <c r="G330">
        <v>0</v>
      </c>
      <c r="H330">
        <v>0</v>
      </c>
      <c r="I330">
        <v>0</v>
      </c>
      <c r="J330">
        <v>0</v>
      </c>
      <c r="K330">
        <v>0</v>
      </c>
      <c r="L330">
        <v>0</v>
      </c>
      <c r="M330">
        <v>0</v>
      </c>
      <c r="N330">
        <v>1440</v>
      </c>
      <c r="O330">
        <v>2060</v>
      </c>
    </row>
    <row r="331" spans="1:15" x14ac:dyDescent="0.35">
      <c r="A331">
        <v>6290855005</v>
      </c>
      <c r="B331" s="1">
        <v>42466</v>
      </c>
      <c r="C331">
        <v>0</v>
      </c>
      <c r="D331">
        <v>0</v>
      </c>
      <c r="E331">
        <v>0</v>
      </c>
      <c r="F331">
        <v>0</v>
      </c>
      <c r="G331">
        <v>0</v>
      </c>
      <c r="H331">
        <v>0</v>
      </c>
      <c r="I331">
        <v>0</v>
      </c>
      <c r="J331">
        <v>0</v>
      </c>
      <c r="K331">
        <v>0</v>
      </c>
      <c r="L331">
        <v>0</v>
      </c>
      <c r="M331">
        <v>0</v>
      </c>
      <c r="N331">
        <v>1440</v>
      </c>
      <c r="O331">
        <v>2060</v>
      </c>
    </row>
    <row r="332" spans="1:15" x14ac:dyDescent="0.35">
      <c r="A332">
        <v>6290855005</v>
      </c>
      <c r="B332" s="1">
        <v>42467</v>
      </c>
      <c r="C332">
        <v>0</v>
      </c>
      <c r="D332">
        <v>0</v>
      </c>
      <c r="E332">
        <v>0</v>
      </c>
      <c r="F332">
        <v>0</v>
      </c>
      <c r="G332">
        <v>0</v>
      </c>
      <c r="H332">
        <v>0</v>
      </c>
      <c r="I332">
        <v>0</v>
      </c>
      <c r="J332">
        <v>0</v>
      </c>
      <c r="K332">
        <v>0</v>
      </c>
      <c r="L332">
        <v>0</v>
      </c>
      <c r="M332">
        <v>0</v>
      </c>
      <c r="N332">
        <v>1440</v>
      </c>
      <c r="O332">
        <v>2060</v>
      </c>
    </row>
    <row r="333" spans="1:15" x14ac:dyDescent="0.35">
      <c r="A333">
        <v>6290855005</v>
      </c>
      <c r="B333" s="1">
        <v>42468</v>
      </c>
      <c r="C333">
        <v>0</v>
      </c>
      <c r="D333">
        <v>0</v>
      </c>
      <c r="E333">
        <v>0</v>
      </c>
      <c r="F333">
        <v>0</v>
      </c>
      <c r="G333">
        <v>0</v>
      </c>
      <c r="H333">
        <v>0</v>
      </c>
      <c r="I333">
        <v>0</v>
      </c>
      <c r="J333">
        <v>0</v>
      </c>
      <c r="K333">
        <v>0</v>
      </c>
      <c r="L333">
        <v>0</v>
      </c>
      <c r="M333">
        <v>0</v>
      </c>
      <c r="N333">
        <v>1440</v>
      </c>
      <c r="O333">
        <v>2060</v>
      </c>
    </row>
    <row r="334" spans="1:15" x14ac:dyDescent="0.35">
      <c r="A334">
        <v>6290855005</v>
      </c>
      <c r="B334" s="1">
        <v>42469</v>
      </c>
      <c r="C334">
        <v>0</v>
      </c>
      <c r="D334">
        <v>0</v>
      </c>
      <c r="E334">
        <v>0</v>
      </c>
      <c r="F334">
        <v>0</v>
      </c>
      <c r="G334">
        <v>0</v>
      </c>
      <c r="H334">
        <v>0</v>
      </c>
      <c r="I334">
        <v>0</v>
      </c>
      <c r="J334">
        <v>0</v>
      </c>
      <c r="K334">
        <v>0</v>
      </c>
      <c r="L334">
        <v>0</v>
      </c>
      <c r="M334">
        <v>0</v>
      </c>
      <c r="N334">
        <v>1440</v>
      </c>
      <c r="O334">
        <v>2060</v>
      </c>
    </row>
    <row r="335" spans="1:15" x14ac:dyDescent="0.35">
      <c r="A335">
        <v>6290855005</v>
      </c>
      <c r="B335" s="1">
        <v>42470</v>
      </c>
      <c r="C335">
        <v>0</v>
      </c>
      <c r="D335">
        <v>0</v>
      </c>
      <c r="E335">
        <v>0</v>
      </c>
      <c r="F335">
        <v>0</v>
      </c>
      <c r="G335">
        <v>0</v>
      </c>
      <c r="H335">
        <v>0</v>
      </c>
      <c r="I335">
        <v>0</v>
      </c>
      <c r="J335">
        <v>0</v>
      </c>
      <c r="K335">
        <v>20</v>
      </c>
      <c r="L335">
        <v>0</v>
      </c>
      <c r="M335">
        <v>0</v>
      </c>
      <c r="N335">
        <v>494</v>
      </c>
      <c r="O335">
        <v>735</v>
      </c>
    </row>
    <row r="336" spans="1:15" x14ac:dyDescent="0.35">
      <c r="A336">
        <v>6391747486</v>
      </c>
      <c r="B336" s="1">
        <v>42461</v>
      </c>
      <c r="C336">
        <v>0</v>
      </c>
      <c r="D336">
        <v>0</v>
      </c>
      <c r="E336">
        <v>0</v>
      </c>
      <c r="F336">
        <v>0</v>
      </c>
      <c r="G336">
        <v>0</v>
      </c>
      <c r="H336">
        <v>0</v>
      </c>
      <c r="I336">
        <v>0</v>
      </c>
      <c r="J336">
        <v>0</v>
      </c>
      <c r="K336">
        <v>0</v>
      </c>
      <c r="L336">
        <v>0</v>
      </c>
      <c r="M336">
        <v>0</v>
      </c>
      <c r="N336">
        <v>1440</v>
      </c>
      <c r="O336">
        <v>1820</v>
      </c>
    </row>
    <row r="337" spans="1:15" x14ac:dyDescent="0.35">
      <c r="A337">
        <v>6391747486</v>
      </c>
      <c r="B337" s="1">
        <v>42462</v>
      </c>
      <c r="C337">
        <v>2101</v>
      </c>
      <c r="D337">
        <v>2.0299999713897701</v>
      </c>
      <c r="E337">
        <v>0</v>
      </c>
      <c r="F337">
        <v>2.0277729034423801</v>
      </c>
      <c r="G337">
        <v>2.0299999713897701</v>
      </c>
      <c r="H337">
        <v>0</v>
      </c>
      <c r="I337">
        <v>0</v>
      </c>
      <c r="J337">
        <v>0</v>
      </c>
      <c r="K337">
        <v>46</v>
      </c>
      <c r="L337">
        <v>0</v>
      </c>
      <c r="M337">
        <v>0</v>
      </c>
      <c r="N337">
        <v>1394</v>
      </c>
      <c r="O337">
        <v>2224</v>
      </c>
    </row>
    <row r="338" spans="1:15" x14ac:dyDescent="0.35">
      <c r="A338">
        <v>6391747486</v>
      </c>
      <c r="B338" s="1">
        <v>42463</v>
      </c>
      <c r="C338">
        <v>0</v>
      </c>
      <c r="D338">
        <v>0</v>
      </c>
      <c r="E338">
        <v>0</v>
      </c>
      <c r="F338">
        <v>0</v>
      </c>
      <c r="G338">
        <v>0</v>
      </c>
      <c r="H338">
        <v>0</v>
      </c>
      <c r="I338">
        <v>0</v>
      </c>
      <c r="J338">
        <v>0</v>
      </c>
      <c r="K338">
        <v>0</v>
      </c>
      <c r="L338">
        <v>0</v>
      </c>
      <c r="M338">
        <v>0</v>
      </c>
      <c r="N338">
        <v>1440</v>
      </c>
      <c r="O338">
        <v>1820</v>
      </c>
    </row>
    <row r="339" spans="1:15" x14ac:dyDescent="0.35">
      <c r="A339">
        <v>6391747486</v>
      </c>
      <c r="B339" s="1">
        <v>42464</v>
      </c>
      <c r="C339">
        <v>0</v>
      </c>
      <c r="D339">
        <v>0</v>
      </c>
      <c r="E339">
        <v>0</v>
      </c>
      <c r="F339">
        <v>0</v>
      </c>
      <c r="G339">
        <v>0</v>
      </c>
      <c r="H339">
        <v>0</v>
      </c>
      <c r="I339">
        <v>0</v>
      </c>
      <c r="J339">
        <v>0</v>
      </c>
      <c r="K339">
        <v>0</v>
      </c>
      <c r="L339">
        <v>0</v>
      </c>
      <c r="M339">
        <v>0</v>
      </c>
      <c r="N339">
        <v>1440</v>
      </c>
      <c r="O339">
        <v>1820</v>
      </c>
    </row>
    <row r="340" spans="1:15" x14ac:dyDescent="0.35">
      <c r="A340">
        <v>6391747486</v>
      </c>
      <c r="B340" s="1">
        <v>42465</v>
      </c>
      <c r="C340">
        <v>9766</v>
      </c>
      <c r="D340">
        <v>7.5100002288818404</v>
      </c>
      <c r="E340">
        <v>0.77999997138977095</v>
      </c>
      <c r="F340">
        <v>6.7270569801330602</v>
      </c>
      <c r="G340">
        <v>0</v>
      </c>
      <c r="H340">
        <v>5.0000000745058101E-2</v>
      </c>
      <c r="I340">
        <v>7.46000003814697</v>
      </c>
      <c r="J340">
        <v>0</v>
      </c>
      <c r="K340">
        <v>0</v>
      </c>
      <c r="L340">
        <v>6</v>
      </c>
      <c r="M340">
        <v>301</v>
      </c>
      <c r="N340">
        <v>1133</v>
      </c>
      <c r="O340">
        <v>2442</v>
      </c>
    </row>
    <row r="341" spans="1:15" x14ac:dyDescent="0.35">
      <c r="A341">
        <v>6391747486</v>
      </c>
      <c r="B341" s="1">
        <v>42466</v>
      </c>
      <c r="C341">
        <v>165</v>
      </c>
      <c r="D341">
        <v>0.129999995231628</v>
      </c>
      <c r="E341">
        <v>0.129999995231628</v>
      </c>
      <c r="F341">
        <v>0</v>
      </c>
      <c r="G341">
        <v>0</v>
      </c>
      <c r="H341">
        <v>0</v>
      </c>
      <c r="I341">
        <v>0.129999995231628</v>
      </c>
      <c r="J341">
        <v>0</v>
      </c>
      <c r="K341">
        <v>0</v>
      </c>
      <c r="L341">
        <v>0</v>
      </c>
      <c r="M341">
        <v>8</v>
      </c>
      <c r="N341">
        <v>1432</v>
      </c>
      <c r="O341">
        <v>1849</v>
      </c>
    </row>
    <row r="342" spans="1:15" x14ac:dyDescent="0.35">
      <c r="A342">
        <v>6391747486</v>
      </c>
      <c r="B342" s="1">
        <v>42467</v>
      </c>
      <c r="C342">
        <v>0</v>
      </c>
      <c r="D342">
        <v>0</v>
      </c>
      <c r="E342">
        <v>0</v>
      </c>
      <c r="F342">
        <v>0</v>
      </c>
      <c r="G342">
        <v>0</v>
      </c>
      <c r="H342">
        <v>0</v>
      </c>
      <c r="I342">
        <v>0</v>
      </c>
      <c r="J342">
        <v>0</v>
      </c>
      <c r="K342">
        <v>0</v>
      </c>
      <c r="L342">
        <v>0</v>
      </c>
      <c r="M342">
        <v>0</v>
      </c>
      <c r="N342">
        <v>1440</v>
      </c>
      <c r="O342">
        <v>1822</v>
      </c>
    </row>
    <row r="343" spans="1:15" x14ac:dyDescent="0.35">
      <c r="A343">
        <v>6391747486</v>
      </c>
      <c r="B343" s="1">
        <v>42468</v>
      </c>
      <c r="C343">
        <v>0</v>
      </c>
      <c r="D343">
        <v>0</v>
      </c>
      <c r="E343">
        <v>0</v>
      </c>
      <c r="F343">
        <v>0</v>
      </c>
      <c r="G343">
        <v>0</v>
      </c>
      <c r="H343">
        <v>0</v>
      </c>
      <c r="I343">
        <v>0</v>
      </c>
      <c r="J343">
        <v>0</v>
      </c>
      <c r="K343">
        <v>0</v>
      </c>
      <c r="L343">
        <v>0</v>
      </c>
      <c r="M343">
        <v>0</v>
      </c>
      <c r="N343">
        <v>1440</v>
      </c>
      <c r="O343">
        <v>1820</v>
      </c>
    </row>
    <row r="344" spans="1:15" x14ac:dyDescent="0.35">
      <c r="A344">
        <v>6391747486</v>
      </c>
      <c r="B344" s="1">
        <v>42469</v>
      </c>
      <c r="C344">
        <v>0</v>
      </c>
      <c r="D344">
        <v>0</v>
      </c>
      <c r="E344">
        <v>0</v>
      </c>
      <c r="F344">
        <v>0</v>
      </c>
      <c r="G344">
        <v>0</v>
      </c>
      <c r="H344">
        <v>0</v>
      </c>
      <c r="I344">
        <v>0</v>
      </c>
      <c r="J344">
        <v>0</v>
      </c>
      <c r="K344">
        <v>0</v>
      </c>
      <c r="L344">
        <v>0</v>
      </c>
      <c r="M344">
        <v>0</v>
      </c>
      <c r="N344">
        <v>198</v>
      </c>
      <c r="O344">
        <v>251</v>
      </c>
    </row>
    <row r="345" spans="1:15" x14ac:dyDescent="0.35">
      <c r="A345">
        <v>6775888955</v>
      </c>
      <c r="B345" s="1">
        <v>42461</v>
      </c>
      <c r="C345">
        <v>7225</v>
      </c>
      <c r="D345">
        <v>5.1799998283386204</v>
      </c>
      <c r="E345">
        <v>5.1799998283386204</v>
      </c>
      <c r="F345">
        <v>0</v>
      </c>
      <c r="G345">
        <v>1.7300000190734901</v>
      </c>
      <c r="H345">
        <v>1.2699999809265099</v>
      </c>
      <c r="I345">
        <v>2.1800000667571999</v>
      </c>
      <c r="J345">
        <v>0</v>
      </c>
      <c r="K345">
        <v>25</v>
      </c>
      <c r="L345">
        <v>50</v>
      </c>
      <c r="M345">
        <v>163</v>
      </c>
      <c r="N345">
        <v>1189</v>
      </c>
      <c r="O345">
        <v>3065</v>
      </c>
    </row>
    <row r="346" spans="1:15" x14ac:dyDescent="0.35">
      <c r="A346">
        <v>6775888955</v>
      </c>
      <c r="B346" s="1">
        <v>42462</v>
      </c>
      <c r="C346">
        <v>1988</v>
      </c>
      <c r="D346">
        <v>1.4299999475479099</v>
      </c>
      <c r="E346">
        <v>1.4299999475479099</v>
      </c>
      <c r="F346">
        <v>0</v>
      </c>
      <c r="G346">
        <v>0</v>
      </c>
      <c r="H346">
        <v>0</v>
      </c>
      <c r="I346">
        <v>1.4299999475479099</v>
      </c>
      <c r="J346">
        <v>0</v>
      </c>
      <c r="K346">
        <v>0</v>
      </c>
      <c r="L346">
        <v>0</v>
      </c>
      <c r="M346">
        <v>79</v>
      </c>
      <c r="N346">
        <v>909</v>
      </c>
      <c r="O346">
        <v>2207</v>
      </c>
    </row>
    <row r="347" spans="1:15" x14ac:dyDescent="0.35">
      <c r="A347">
        <v>6775888955</v>
      </c>
      <c r="B347" s="1">
        <v>42463</v>
      </c>
      <c r="C347">
        <v>1577</v>
      </c>
      <c r="D347">
        <v>1.12999999523163</v>
      </c>
      <c r="E347">
        <v>1.12999999523163</v>
      </c>
      <c r="F347">
        <v>0</v>
      </c>
      <c r="G347">
        <v>7.0000000298023196E-2</v>
      </c>
      <c r="H347">
        <v>0.88999998569488503</v>
      </c>
      <c r="I347">
        <v>0.17000000178813901</v>
      </c>
      <c r="J347">
        <v>0</v>
      </c>
      <c r="K347">
        <v>1</v>
      </c>
      <c r="L347">
        <v>17</v>
      </c>
      <c r="M347">
        <v>8</v>
      </c>
      <c r="N347">
        <v>1414</v>
      </c>
      <c r="O347">
        <v>1977</v>
      </c>
    </row>
    <row r="348" spans="1:15" x14ac:dyDescent="0.35">
      <c r="A348">
        <v>6775888955</v>
      </c>
      <c r="B348" s="1">
        <v>42464</v>
      </c>
      <c r="C348">
        <v>0</v>
      </c>
      <c r="D348">
        <v>0</v>
      </c>
      <c r="E348">
        <v>0</v>
      </c>
      <c r="F348">
        <v>0</v>
      </c>
      <c r="G348">
        <v>0</v>
      </c>
      <c r="H348">
        <v>0</v>
      </c>
      <c r="I348">
        <v>0</v>
      </c>
      <c r="J348">
        <v>0</v>
      </c>
      <c r="K348">
        <v>0</v>
      </c>
      <c r="L348">
        <v>0</v>
      </c>
      <c r="M348">
        <v>0</v>
      </c>
      <c r="N348">
        <v>1440</v>
      </c>
      <c r="O348">
        <v>1841</v>
      </c>
    </row>
    <row r="349" spans="1:15" x14ac:dyDescent="0.35">
      <c r="A349">
        <v>6775888955</v>
      </c>
      <c r="B349" s="1">
        <v>42465</v>
      </c>
      <c r="C349">
        <v>9348</v>
      </c>
      <c r="D349">
        <v>6.6999998092651403</v>
      </c>
      <c r="E349">
        <v>6.6999998092651403</v>
      </c>
      <c r="F349">
        <v>0</v>
      </c>
      <c r="G349">
        <v>1.12999999523163</v>
      </c>
      <c r="H349">
        <v>2.03999996185303</v>
      </c>
      <c r="I349">
        <v>3.1400001049041699</v>
      </c>
      <c r="J349">
        <v>0</v>
      </c>
      <c r="K349">
        <v>56</v>
      </c>
      <c r="L349">
        <v>133</v>
      </c>
      <c r="M349">
        <v>240</v>
      </c>
      <c r="N349">
        <v>1011</v>
      </c>
      <c r="O349">
        <v>4286</v>
      </c>
    </row>
    <row r="350" spans="1:15" x14ac:dyDescent="0.35">
      <c r="A350">
        <v>6775888955</v>
      </c>
      <c r="B350" s="1">
        <v>42466</v>
      </c>
      <c r="C350">
        <v>11761</v>
      </c>
      <c r="D350">
        <v>8.4300003051757795</v>
      </c>
      <c r="E350">
        <v>8.4300003051757795</v>
      </c>
      <c r="F350">
        <v>0</v>
      </c>
      <c r="G350">
        <v>1.3099999427795399</v>
      </c>
      <c r="H350">
        <v>2.4400000572204599</v>
      </c>
      <c r="I350">
        <v>4.6799998283386204</v>
      </c>
      <c r="J350">
        <v>0</v>
      </c>
      <c r="K350">
        <v>24</v>
      </c>
      <c r="L350">
        <v>99</v>
      </c>
      <c r="M350">
        <v>300</v>
      </c>
      <c r="N350">
        <v>550</v>
      </c>
      <c r="O350">
        <v>3920</v>
      </c>
    </row>
    <row r="351" spans="1:15" x14ac:dyDescent="0.35">
      <c r="A351">
        <v>6775888955</v>
      </c>
      <c r="B351" s="1">
        <v>42467</v>
      </c>
      <c r="C351">
        <v>13987</v>
      </c>
      <c r="D351">
        <v>10.0299997329712</v>
      </c>
      <c r="E351">
        <v>10.0299997329712</v>
      </c>
      <c r="F351">
        <v>0</v>
      </c>
      <c r="G351">
        <v>2.8699998855590798</v>
      </c>
      <c r="H351">
        <v>3.3399999141693102</v>
      </c>
      <c r="I351">
        <v>3.8199999332428001</v>
      </c>
      <c r="J351">
        <v>0</v>
      </c>
      <c r="K351">
        <v>46</v>
      </c>
      <c r="L351">
        <v>114</v>
      </c>
      <c r="M351">
        <v>250</v>
      </c>
      <c r="N351">
        <v>739</v>
      </c>
      <c r="O351">
        <v>3856</v>
      </c>
    </row>
    <row r="352" spans="1:15" x14ac:dyDescent="0.35">
      <c r="A352">
        <v>6775888955</v>
      </c>
      <c r="B352" s="1">
        <v>42468</v>
      </c>
      <c r="C352">
        <v>4131</v>
      </c>
      <c r="D352">
        <v>2.96000003814697</v>
      </c>
      <c r="E352">
        <v>2.96000003814697</v>
      </c>
      <c r="F352">
        <v>0</v>
      </c>
      <c r="G352">
        <v>1.37000000476837</v>
      </c>
      <c r="H352">
        <v>0.61000001430511497</v>
      </c>
      <c r="I352">
        <v>0.980000019073486</v>
      </c>
      <c r="J352">
        <v>0</v>
      </c>
      <c r="K352">
        <v>27</v>
      </c>
      <c r="L352">
        <v>30</v>
      </c>
      <c r="M352">
        <v>75</v>
      </c>
      <c r="N352">
        <v>1308</v>
      </c>
      <c r="O352">
        <v>2584</v>
      </c>
    </row>
    <row r="353" spans="1:15" x14ac:dyDescent="0.35">
      <c r="A353">
        <v>6775888955</v>
      </c>
      <c r="B353" s="1">
        <v>42469</v>
      </c>
      <c r="C353">
        <v>14</v>
      </c>
      <c r="D353">
        <v>9.9999997764825804E-3</v>
      </c>
      <c r="E353">
        <v>9.9999997764825804E-3</v>
      </c>
      <c r="F353">
        <v>0</v>
      </c>
      <c r="G353">
        <v>0</v>
      </c>
      <c r="H353">
        <v>0</v>
      </c>
      <c r="I353">
        <v>9.9999997764825804E-3</v>
      </c>
      <c r="J353">
        <v>0</v>
      </c>
      <c r="K353">
        <v>0</v>
      </c>
      <c r="L353">
        <v>0</v>
      </c>
      <c r="M353">
        <v>1</v>
      </c>
      <c r="N353">
        <v>601</v>
      </c>
      <c r="O353">
        <v>787</v>
      </c>
    </row>
    <row r="354" spans="1:15" x14ac:dyDescent="0.35">
      <c r="A354">
        <v>6962181067</v>
      </c>
      <c r="B354" s="1">
        <v>42459</v>
      </c>
      <c r="C354">
        <v>15491</v>
      </c>
      <c r="D354">
        <v>10.2399997711182</v>
      </c>
      <c r="E354">
        <v>10.2399997711182</v>
      </c>
      <c r="F354">
        <v>0</v>
      </c>
      <c r="G354">
        <v>1.28999996185303</v>
      </c>
      <c r="H354">
        <v>4.4899997711181596</v>
      </c>
      <c r="I354">
        <v>4.46000003814697</v>
      </c>
      <c r="J354">
        <v>0</v>
      </c>
      <c r="K354">
        <v>18</v>
      </c>
      <c r="L354">
        <v>77</v>
      </c>
      <c r="M354">
        <v>272</v>
      </c>
      <c r="N354">
        <v>641</v>
      </c>
      <c r="O354">
        <v>2244</v>
      </c>
    </row>
    <row r="355" spans="1:15" x14ac:dyDescent="0.35">
      <c r="A355">
        <v>6962181067</v>
      </c>
      <c r="B355" s="1">
        <v>42460</v>
      </c>
      <c r="C355">
        <v>14097</v>
      </c>
      <c r="D355">
        <v>9.3199996948242205</v>
      </c>
      <c r="E355">
        <v>9.3199996948242205</v>
      </c>
      <c r="F355">
        <v>0</v>
      </c>
      <c r="G355">
        <v>3.5</v>
      </c>
      <c r="H355">
        <v>1.91999995708466</v>
      </c>
      <c r="I355">
        <v>3.9000000953674299</v>
      </c>
      <c r="J355">
        <v>0</v>
      </c>
      <c r="K355">
        <v>50</v>
      </c>
      <c r="L355">
        <v>32</v>
      </c>
      <c r="M355">
        <v>234</v>
      </c>
      <c r="N355">
        <v>595</v>
      </c>
      <c r="O355">
        <v>2188</v>
      </c>
    </row>
    <row r="356" spans="1:15" x14ac:dyDescent="0.35">
      <c r="A356">
        <v>6962181067</v>
      </c>
      <c r="B356" s="1">
        <v>42461</v>
      </c>
      <c r="C356">
        <v>10467</v>
      </c>
      <c r="D356">
        <v>6.9800000190734899</v>
      </c>
      <c r="E356">
        <v>6.9800000190734899</v>
      </c>
      <c r="F356">
        <v>0</v>
      </c>
      <c r="G356">
        <v>0.69999998807907104</v>
      </c>
      <c r="H356">
        <v>2.4300000667571999</v>
      </c>
      <c r="I356">
        <v>3.8499999046325701</v>
      </c>
      <c r="J356">
        <v>0</v>
      </c>
      <c r="K356">
        <v>9</v>
      </c>
      <c r="L356">
        <v>45</v>
      </c>
      <c r="M356">
        <v>252</v>
      </c>
      <c r="N356">
        <v>602</v>
      </c>
      <c r="O356">
        <v>2014</v>
      </c>
    </row>
    <row r="357" spans="1:15" x14ac:dyDescent="0.35">
      <c r="A357">
        <v>6962181067</v>
      </c>
      <c r="B357" s="1">
        <v>42462</v>
      </c>
      <c r="C357">
        <v>12437</v>
      </c>
      <c r="D357">
        <v>8.3000001907348597</v>
      </c>
      <c r="E357">
        <v>8.3000001907348597</v>
      </c>
      <c r="F357">
        <v>0</v>
      </c>
      <c r="G357">
        <v>3.7599999904632599</v>
      </c>
      <c r="H357">
        <v>1.28999996185303</v>
      </c>
      <c r="I357">
        <v>3.2400000095367401</v>
      </c>
      <c r="J357">
        <v>0</v>
      </c>
      <c r="K357">
        <v>50</v>
      </c>
      <c r="L357">
        <v>24</v>
      </c>
      <c r="M357">
        <v>219</v>
      </c>
      <c r="N357">
        <v>732</v>
      </c>
      <c r="O357">
        <v>2115</v>
      </c>
    </row>
    <row r="358" spans="1:15" x14ac:dyDescent="0.35">
      <c r="A358">
        <v>6962181067</v>
      </c>
      <c r="B358" s="1">
        <v>42463</v>
      </c>
      <c r="C358">
        <v>12307</v>
      </c>
      <c r="D358">
        <v>8.1400003433227504</v>
      </c>
      <c r="E358">
        <v>8.1400003433227504</v>
      </c>
      <c r="F358">
        <v>0</v>
      </c>
      <c r="G358">
        <v>1.0099999904632599</v>
      </c>
      <c r="H358">
        <v>3.2599999904632599</v>
      </c>
      <c r="I358">
        <v>3.8699998855590798</v>
      </c>
      <c r="J358">
        <v>0</v>
      </c>
      <c r="K358">
        <v>14</v>
      </c>
      <c r="L358">
        <v>51</v>
      </c>
      <c r="M358">
        <v>218</v>
      </c>
      <c r="N358">
        <v>589</v>
      </c>
      <c r="O358">
        <v>2055</v>
      </c>
    </row>
    <row r="359" spans="1:15" x14ac:dyDescent="0.35">
      <c r="A359">
        <v>6962181067</v>
      </c>
      <c r="B359" s="1">
        <v>42464</v>
      </c>
      <c r="C359">
        <v>18952</v>
      </c>
      <c r="D359">
        <v>12.800000190734901</v>
      </c>
      <c r="E359">
        <v>12.800000190734901</v>
      </c>
      <c r="F359">
        <v>0</v>
      </c>
      <c r="G359">
        <v>5.9099998474121103</v>
      </c>
      <c r="H359">
        <v>1.2300000190734901</v>
      </c>
      <c r="I359">
        <v>5.6599998474121103</v>
      </c>
      <c r="J359">
        <v>0</v>
      </c>
      <c r="K359">
        <v>73</v>
      </c>
      <c r="L359">
        <v>20</v>
      </c>
      <c r="M359">
        <v>327</v>
      </c>
      <c r="N359">
        <v>570</v>
      </c>
      <c r="O359">
        <v>2437</v>
      </c>
    </row>
    <row r="360" spans="1:15" x14ac:dyDescent="0.35">
      <c r="A360">
        <v>6962181067</v>
      </c>
      <c r="B360" s="1">
        <v>42465</v>
      </c>
      <c r="C360">
        <v>12010</v>
      </c>
      <c r="D360">
        <v>7.9400000572204599</v>
      </c>
      <c r="E360">
        <v>7.9400000572204599</v>
      </c>
      <c r="F360">
        <v>0</v>
      </c>
      <c r="G360">
        <v>2.3800001144409202</v>
      </c>
      <c r="H360">
        <v>0.94999998807907104</v>
      </c>
      <c r="I360">
        <v>4.6100001335143999</v>
      </c>
      <c r="J360">
        <v>0</v>
      </c>
      <c r="K360">
        <v>38</v>
      </c>
      <c r="L360">
        <v>17</v>
      </c>
      <c r="M360">
        <v>287</v>
      </c>
      <c r="N360">
        <v>692</v>
      </c>
      <c r="O360">
        <v>2158</v>
      </c>
    </row>
    <row r="361" spans="1:15" x14ac:dyDescent="0.35">
      <c r="A361">
        <v>6962181067</v>
      </c>
      <c r="B361" s="1">
        <v>42466</v>
      </c>
      <c r="C361">
        <v>12480</v>
      </c>
      <c r="D361">
        <v>8.8599996566772496</v>
      </c>
      <c r="E361">
        <v>8.25</v>
      </c>
      <c r="F361">
        <v>3.9727950096130402</v>
      </c>
      <c r="G361">
        <v>4.1799998283386204</v>
      </c>
      <c r="H361">
        <v>0.68999999761581399</v>
      </c>
      <c r="I361">
        <v>4</v>
      </c>
      <c r="J361">
        <v>0</v>
      </c>
      <c r="K361">
        <v>55</v>
      </c>
      <c r="L361">
        <v>14</v>
      </c>
      <c r="M361">
        <v>276</v>
      </c>
      <c r="N361">
        <v>593</v>
      </c>
      <c r="O361">
        <v>2170</v>
      </c>
    </row>
    <row r="362" spans="1:15" x14ac:dyDescent="0.35">
      <c r="A362">
        <v>6962181067</v>
      </c>
      <c r="B362" s="1">
        <v>42467</v>
      </c>
      <c r="C362">
        <v>13417</v>
      </c>
      <c r="D362">
        <v>9.6499996185302699</v>
      </c>
      <c r="E362">
        <v>8.8699998855590803</v>
      </c>
      <c r="F362">
        <v>1.92630195617676</v>
      </c>
      <c r="G362">
        <v>3.3900001049041699</v>
      </c>
      <c r="H362">
        <v>1.25</v>
      </c>
      <c r="I362">
        <v>4.9099998474121103</v>
      </c>
      <c r="J362">
        <v>0.10000000149011599</v>
      </c>
      <c r="K362">
        <v>45</v>
      </c>
      <c r="L362">
        <v>16</v>
      </c>
      <c r="M362">
        <v>284</v>
      </c>
      <c r="N362">
        <v>665</v>
      </c>
      <c r="O362">
        <v>2244</v>
      </c>
    </row>
    <row r="363" spans="1:15" x14ac:dyDescent="0.35">
      <c r="A363">
        <v>6962181067</v>
      </c>
      <c r="B363" s="1">
        <v>42468</v>
      </c>
      <c r="C363">
        <v>14400</v>
      </c>
      <c r="D363">
        <v>10.8800001144409</v>
      </c>
      <c r="E363">
        <v>9.5200004577636701</v>
      </c>
      <c r="F363">
        <v>5.4568638801574698</v>
      </c>
      <c r="G363">
        <v>2.4700000286102299</v>
      </c>
      <c r="H363">
        <v>2.8800001144409202</v>
      </c>
      <c r="I363">
        <v>5.5300002098083496</v>
      </c>
      <c r="J363">
        <v>0</v>
      </c>
      <c r="K363">
        <v>27</v>
      </c>
      <c r="L363">
        <v>37</v>
      </c>
      <c r="M363">
        <v>276</v>
      </c>
      <c r="N363">
        <v>697</v>
      </c>
      <c r="O363">
        <v>2188</v>
      </c>
    </row>
    <row r="364" spans="1:15" x14ac:dyDescent="0.35">
      <c r="A364">
        <v>6962181067</v>
      </c>
      <c r="B364" s="1">
        <v>42469</v>
      </c>
      <c r="C364">
        <v>12495</v>
      </c>
      <c r="D364">
        <v>8.2600002288818395</v>
      </c>
      <c r="E364">
        <v>8.2600002288818395</v>
      </c>
      <c r="F364">
        <v>0</v>
      </c>
      <c r="G364">
        <v>2.21000003814697</v>
      </c>
      <c r="H364">
        <v>1.0900000333786</v>
      </c>
      <c r="I364">
        <v>4.96000003814697</v>
      </c>
      <c r="J364">
        <v>0</v>
      </c>
      <c r="K364">
        <v>33</v>
      </c>
      <c r="L364">
        <v>19</v>
      </c>
      <c r="M364">
        <v>324</v>
      </c>
      <c r="N364">
        <v>609</v>
      </c>
      <c r="O364">
        <v>2231</v>
      </c>
    </row>
    <row r="365" spans="1:15" x14ac:dyDescent="0.35">
      <c r="A365">
        <v>6962181067</v>
      </c>
      <c r="B365" s="1">
        <v>42470</v>
      </c>
      <c r="C365">
        <v>10148</v>
      </c>
      <c r="D365">
        <v>6.71000003814697</v>
      </c>
      <c r="E365">
        <v>6.71000003814697</v>
      </c>
      <c r="F365">
        <v>0</v>
      </c>
      <c r="G365">
        <v>1.3600000143051101</v>
      </c>
      <c r="H365">
        <v>0.21999999880790699</v>
      </c>
      <c r="I365">
        <v>5.1300001144409197</v>
      </c>
      <c r="J365">
        <v>0</v>
      </c>
      <c r="K365">
        <v>19</v>
      </c>
      <c r="L365">
        <v>7</v>
      </c>
      <c r="M365">
        <v>306</v>
      </c>
      <c r="N365">
        <v>679</v>
      </c>
      <c r="O365">
        <v>2100</v>
      </c>
    </row>
    <row r="366" spans="1:15" x14ac:dyDescent="0.35">
      <c r="A366">
        <v>6962181067</v>
      </c>
      <c r="B366" s="1">
        <v>42471</v>
      </c>
      <c r="C366">
        <v>12362</v>
      </c>
      <c r="D366">
        <v>9.0900001525878906</v>
      </c>
      <c r="E366">
        <v>8.1700000762939506</v>
      </c>
      <c r="F366">
        <v>2.6964550018310498</v>
      </c>
      <c r="G366">
        <v>1.0900000333786</v>
      </c>
      <c r="H366">
        <v>2.7300000190734899</v>
      </c>
      <c r="I366">
        <v>5.2699999809265101</v>
      </c>
      <c r="J366">
        <v>0</v>
      </c>
      <c r="K366">
        <v>21</v>
      </c>
      <c r="L366">
        <v>38</v>
      </c>
      <c r="M366">
        <v>297</v>
      </c>
      <c r="N366">
        <v>678</v>
      </c>
      <c r="O366">
        <v>2188</v>
      </c>
    </row>
    <row r="367" spans="1:15" x14ac:dyDescent="0.35">
      <c r="A367">
        <v>6962181067</v>
      </c>
      <c r="B367" s="1">
        <v>42472</v>
      </c>
      <c r="C367">
        <v>5893</v>
      </c>
      <c r="D367">
        <v>3.9000000953674299</v>
      </c>
      <c r="E367">
        <v>3.9000000953674299</v>
      </c>
      <c r="F367">
        <v>0</v>
      </c>
      <c r="G367">
        <v>2.8800001144409202</v>
      </c>
      <c r="H367">
        <v>0.56000000238418601</v>
      </c>
      <c r="I367">
        <v>0.46000000834464999</v>
      </c>
      <c r="J367">
        <v>0</v>
      </c>
      <c r="K367">
        <v>43</v>
      </c>
      <c r="L367">
        <v>9</v>
      </c>
      <c r="M367">
        <v>48</v>
      </c>
      <c r="N367">
        <v>146</v>
      </c>
      <c r="O367">
        <v>917</v>
      </c>
    </row>
    <row r="368" spans="1:15" x14ac:dyDescent="0.35">
      <c r="A368">
        <v>7007744171</v>
      </c>
      <c r="B368" s="1">
        <v>42461</v>
      </c>
      <c r="C368">
        <v>11680</v>
      </c>
      <c r="D368">
        <v>9.0600004196166992</v>
      </c>
      <c r="E368">
        <v>7.8099999427795401</v>
      </c>
      <c r="F368">
        <v>4.9012827873229998</v>
      </c>
      <c r="G368">
        <v>4.4899997711181596</v>
      </c>
      <c r="H368">
        <v>0.33000001311302202</v>
      </c>
      <c r="I368">
        <v>4.2399997711181596</v>
      </c>
      <c r="J368">
        <v>0</v>
      </c>
      <c r="K368">
        <v>50</v>
      </c>
      <c r="L368">
        <v>7</v>
      </c>
      <c r="M368">
        <v>244</v>
      </c>
      <c r="N368">
        <v>1139</v>
      </c>
      <c r="O368">
        <v>2573</v>
      </c>
    </row>
    <row r="369" spans="1:15" x14ac:dyDescent="0.35">
      <c r="A369">
        <v>7007744171</v>
      </c>
      <c r="B369" s="1">
        <v>42462</v>
      </c>
      <c r="C369">
        <v>10976</v>
      </c>
      <c r="D369">
        <v>7.3400001525878897</v>
      </c>
      <c r="E369">
        <v>7.3400001525878897</v>
      </c>
      <c r="F369">
        <v>0</v>
      </c>
      <c r="G369">
        <v>0.55000001192092896</v>
      </c>
      <c r="H369">
        <v>0.67000001668930098</v>
      </c>
      <c r="I369">
        <v>6.1300001144409197</v>
      </c>
      <c r="J369">
        <v>0</v>
      </c>
      <c r="K369">
        <v>9</v>
      </c>
      <c r="L369">
        <v>16</v>
      </c>
      <c r="M369">
        <v>271</v>
      </c>
      <c r="N369">
        <v>1075</v>
      </c>
      <c r="O369">
        <v>2575</v>
      </c>
    </row>
    <row r="370" spans="1:15" x14ac:dyDescent="0.35">
      <c r="A370">
        <v>7007744171</v>
      </c>
      <c r="B370" s="1">
        <v>42463</v>
      </c>
      <c r="C370">
        <v>16806</v>
      </c>
      <c r="D370">
        <v>11.2399997711182</v>
      </c>
      <c r="E370">
        <v>11.2399997711182</v>
      </c>
      <c r="F370">
        <v>0</v>
      </c>
      <c r="G370">
        <v>6.4099998474121103</v>
      </c>
      <c r="H370">
        <v>1.37000000476837</v>
      </c>
      <c r="I370">
        <v>3.4700000286102299</v>
      </c>
      <c r="J370">
        <v>0</v>
      </c>
      <c r="K370">
        <v>104</v>
      </c>
      <c r="L370">
        <v>31</v>
      </c>
      <c r="M370">
        <v>230</v>
      </c>
      <c r="N370">
        <v>1002</v>
      </c>
      <c r="O370">
        <v>3086</v>
      </c>
    </row>
    <row r="371" spans="1:15" x14ac:dyDescent="0.35">
      <c r="A371">
        <v>7007744171</v>
      </c>
      <c r="B371" s="1">
        <v>42464</v>
      </c>
      <c r="C371">
        <v>15266</v>
      </c>
      <c r="D371">
        <v>11.3999996185303</v>
      </c>
      <c r="E371">
        <v>10.210000038146999</v>
      </c>
      <c r="F371">
        <v>5.1898498535156303</v>
      </c>
      <c r="G371">
        <v>5.8000001907348597</v>
      </c>
      <c r="H371">
        <v>0.75999999046325695</v>
      </c>
      <c r="I371">
        <v>4.78999996185303</v>
      </c>
      <c r="J371">
        <v>5.0000000745058101E-2</v>
      </c>
      <c r="K371">
        <v>70</v>
      </c>
      <c r="L371">
        <v>21</v>
      </c>
      <c r="M371">
        <v>292</v>
      </c>
      <c r="N371">
        <v>1057</v>
      </c>
      <c r="O371">
        <v>2886</v>
      </c>
    </row>
    <row r="372" spans="1:15" x14ac:dyDescent="0.35">
      <c r="A372">
        <v>7007744171</v>
      </c>
      <c r="B372" s="1">
        <v>42465</v>
      </c>
      <c r="C372">
        <v>12084</v>
      </c>
      <c r="D372">
        <v>9.1400003433227504</v>
      </c>
      <c r="E372">
        <v>8.0799999237060494</v>
      </c>
      <c r="F372">
        <v>4.8363800048828098</v>
      </c>
      <c r="G372">
        <v>4.3899998664856001</v>
      </c>
      <c r="H372">
        <v>0.46000000834464999</v>
      </c>
      <c r="I372">
        <v>4.28999996185303</v>
      </c>
      <c r="J372">
        <v>0</v>
      </c>
      <c r="K372">
        <v>50</v>
      </c>
      <c r="L372">
        <v>6</v>
      </c>
      <c r="M372">
        <v>284</v>
      </c>
      <c r="N372">
        <v>1030</v>
      </c>
      <c r="O372">
        <v>2676</v>
      </c>
    </row>
    <row r="373" spans="1:15" x14ac:dyDescent="0.35">
      <c r="A373">
        <v>7007744171</v>
      </c>
      <c r="B373" s="1">
        <v>42466</v>
      </c>
      <c r="C373">
        <v>13513</v>
      </c>
      <c r="D373">
        <v>10.25</v>
      </c>
      <c r="E373">
        <v>9.0699996948242205</v>
      </c>
      <c r="F373">
        <v>4.8357200622558603</v>
      </c>
      <c r="G373">
        <v>5.3499999046325701</v>
      </c>
      <c r="H373">
        <v>0.33000001311302202</v>
      </c>
      <c r="I373">
        <v>4.5599999427795401</v>
      </c>
      <c r="J373">
        <v>0</v>
      </c>
      <c r="K373">
        <v>64</v>
      </c>
      <c r="L373">
        <v>8</v>
      </c>
      <c r="M373">
        <v>270</v>
      </c>
      <c r="N373">
        <v>1098</v>
      </c>
      <c r="O373">
        <v>2811</v>
      </c>
    </row>
    <row r="374" spans="1:15" x14ac:dyDescent="0.35">
      <c r="A374">
        <v>7007744171</v>
      </c>
      <c r="B374" s="1">
        <v>42467</v>
      </c>
      <c r="C374">
        <v>14100</v>
      </c>
      <c r="D374">
        <v>10.579999923706101</v>
      </c>
      <c r="E374">
        <v>9.4300003051757795</v>
      </c>
      <c r="F374">
        <v>4.8759899139404297</v>
      </c>
      <c r="G374">
        <v>5.0999999046325701</v>
      </c>
      <c r="H374">
        <v>1.1900000572204601</v>
      </c>
      <c r="I374">
        <v>4.2800002098083496</v>
      </c>
      <c r="J374">
        <v>0</v>
      </c>
      <c r="K374">
        <v>61</v>
      </c>
      <c r="L374">
        <v>33</v>
      </c>
      <c r="M374">
        <v>265</v>
      </c>
      <c r="N374">
        <v>1015</v>
      </c>
      <c r="O374">
        <v>2840</v>
      </c>
    </row>
    <row r="375" spans="1:15" x14ac:dyDescent="0.35">
      <c r="A375">
        <v>7007744171</v>
      </c>
      <c r="B375" s="1">
        <v>42468</v>
      </c>
      <c r="C375">
        <v>12627</v>
      </c>
      <c r="D375">
        <v>9.6499996185302699</v>
      </c>
      <c r="E375">
        <v>8.4499998092651403</v>
      </c>
      <c r="F375">
        <v>4.8423199653625497</v>
      </c>
      <c r="G375">
        <v>4.6999998092651403</v>
      </c>
      <c r="H375">
        <v>0.74000000953674305</v>
      </c>
      <c r="I375">
        <v>4.21000003814697</v>
      </c>
      <c r="J375">
        <v>0</v>
      </c>
      <c r="K375">
        <v>54</v>
      </c>
      <c r="L375">
        <v>22</v>
      </c>
      <c r="M375">
        <v>301</v>
      </c>
      <c r="N375">
        <v>1063</v>
      </c>
      <c r="O375">
        <v>2871</v>
      </c>
    </row>
    <row r="376" spans="1:15" x14ac:dyDescent="0.35">
      <c r="A376">
        <v>7007744171</v>
      </c>
      <c r="B376" s="1">
        <v>42469</v>
      </c>
      <c r="C376">
        <v>10345</v>
      </c>
      <c r="D376">
        <v>6.9200000762939498</v>
      </c>
      <c r="E376">
        <v>6.9200000762939498</v>
      </c>
      <c r="F376">
        <v>0</v>
      </c>
      <c r="G376">
        <v>7.0000000298023196E-2</v>
      </c>
      <c r="H376">
        <v>0.270000010728836</v>
      </c>
      <c r="I376">
        <v>6.5799999237060502</v>
      </c>
      <c r="J376">
        <v>0</v>
      </c>
      <c r="K376">
        <v>2</v>
      </c>
      <c r="L376">
        <v>6</v>
      </c>
      <c r="M376">
        <v>358</v>
      </c>
      <c r="N376">
        <v>1074</v>
      </c>
      <c r="O376">
        <v>2613</v>
      </c>
    </row>
    <row r="377" spans="1:15" x14ac:dyDescent="0.35">
      <c r="A377">
        <v>7007744171</v>
      </c>
      <c r="B377" s="1">
        <v>42470</v>
      </c>
      <c r="C377">
        <v>10146</v>
      </c>
      <c r="D377">
        <v>6.78999996185303</v>
      </c>
      <c r="E377">
        <v>6.78999996185303</v>
      </c>
      <c r="F377">
        <v>0</v>
      </c>
      <c r="G377">
        <v>7.0000000298023196E-2</v>
      </c>
      <c r="H377">
        <v>0.61000001430511497</v>
      </c>
      <c r="I377">
        <v>6.1100001335143999</v>
      </c>
      <c r="J377">
        <v>0</v>
      </c>
      <c r="K377">
        <v>1</v>
      </c>
      <c r="L377">
        <v>12</v>
      </c>
      <c r="M377">
        <v>397</v>
      </c>
      <c r="N377">
        <v>1030</v>
      </c>
      <c r="O377">
        <v>2700</v>
      </c>
    </row>
    <row r="378" spans="1:15" x14ac:dyDescent="0.35">
      <c r="A378">
        <v>7007744171</v>
      </c>
      <c r="B378" s="1">
        <v>42471</v>
      </c>
      <c r="C378">
        <v>12168</v>
      </c>
      <c r="D378">
        <v>8.1400003433227504</v>
      </c>
      <c r="E378">
        <v>8.1400003433227504</v>
      </c>
      <c r="F378">
        <v>0</v>
      </c>
      <c r="G378">
        <v>1.04999995231628</v>
      </c>
      <c r="H378">
        <v>0.79000002145767201</v>
      </c>
      <c r="I378">
        <v>6.28999996185303</v>
      </c>
      <c r="J378">
        <v>0</v>
      </c>
      <c r="K378">
        <v>18</v>
      </c>
      <c r="L378">
        <v>27</v>
      </c>
      <c r="M378">
        <v>375</v>
      </c>
      <c r="N378">
        <v>1020</v>
      </c>
      <c r="O378">
        <v>2871</v>
      </c>
    </row>
    <row r="379" spans="1:15" x14ac:dyDescent="0.35">
      <c r="A379">
        <v>7007744171</v>
      </c>
      <c r="B379" s="1">
        <v>42472</v>
      </c>
      <c r="C379">
        <v>7413</v>
      </c>
      <c r="D379">
        <v>5.7699999809265101</v>
      </c>
      <c r="E379">
        <v>4.96000003814697</v>
      </c>
      <c r="F379">
        <v>4.8697829246520996</v>
      </c>
      <c r="G379">
        <v>4.5</v>
      </c>
      <c r="H379">
        <v>0.34000000357627902</v>
      </c>
      <c r="I379">
        <v>0.93999999761581399</v>
      </c>
      <c r="J379">
        <v>0</v>
      </c>
      <c r="K379">
        <v>53</v>
      </c>
      <c r="L379">
        <v>6</v>
      </c>
      <c r="M379">
        <v>43</v>
      </c>
      <c r="N379">
        <v>405</v>
      </c>
      <c r="O379">
        <v>1023</v>
      </c>
    </row>
    <row r="380" spans="1:15" x14ac:dyDescent="0.35">
      <c r="A380">
        <v>7086361926</v>
      </c>
      <c r="B380" s="1">
        <v>42461</v>
      </c>
      <c r="C380">
        <v>11463</v>
      </c>
      <c r="D380">
        <v>7.6700000762939498</v>
      </c>
      <c r="E380">
        <v>7.6700000762939498</v>
      </c>
      <c r="F380">
        <v>0</v>
      </c>
      <c r="G380">
        <v>2.8299999237060498</v>
      </c>
      <c r="H380">
        <v>1.8899999856948899</v>
      </c>
      <c r="I380">
        <v>2.9300000667571999</v>
      </c>
      <c r="J380">
        <v>0</v>
      </c>
      <c r="K380">
        <v>38</v>
      </c>
      <c r="L380">
        <v>30</v>
      </c>
      <c r="M380">
        <v>154</v>
      </c>
      <c r="N380">
        <v>777</v>
      </c>
      <c r="O380">
        <v>2496</v>
      </c>
    </row>
    <row r="381" spans="1:15" x14ac:dyDescent="0.35">
      <c r="A381">
        <v>7086361926</v>
      </c>
      <c r="B381" s="1">
        <v>42462</v>
      </c>
      <c r="C381">
        <v>87</v>
      </c>
      <c r="D381">
        <v>1.9999999552965199E-2</v>
      </c>
      <c r="E381">
        <v>1.9999999552965199E-2</v>
      </c>
      <c r="F381">
        <v>0</v>
      </c>
      <c r="G381">
        <v>0</v>
      </c>
      <c r="H381">
        <v>0</v>
      </c>
      <c r="I381">
        <v>9.9999997764825804E-3</v>
      </c>
      <c r="J381">
        <v>0</v>
      </c>
      <c r="K381">
        <v>0</v>
      </c>
      <c r="L381">
        <v>0</v>
      </c>
      <c r="M381">
        <v>2</v>
      </c>
      <c r="N381">
        <v>872</v>
      </c>
      <c r="O381">
        <v>1641</v>
      </c>
    </row>
    <row r="382" spans="1:15" x14ac:dyDescent="0.35">
      <c r="A382">
        <v>7086361926</v>
      </c>
      <c r="B382" s="1">
        <v>42463</v>
      </c>
      <c r="C382">
        <v>1949</v>
      </c>
      <c r="D382">
        <v>1.3099999427795399</v>
      </c>
      <c r="E382">
        <v>1.3099999427795399</v>
      </c>
      <c r="F382">
        <v>0</v>
      </c>
      <c r="G382">
        <v>0.230000004172325</v>
      </c>
      <c r="H382">
        <v>0.34999999403953602</v>
      </c>
      <c r="I382">
        <v>0.730000019073486</v>
      </c>
      <c r="J382">
        <v>0</v>
      </c>
      <c r="K382">
        <v>3</v>
      </c>
      <c r="L382">
        <v>6</v>
      </c>
      <c r="M382">
        <v>27</v>
      </c>
      <c r="N382">
        <v>1404</v>
      </c>
      <c r="O382">
        <v>1794</v>
      </c>
    </row>
    <row r="383" spans="1:15" x14ac:dyDescent="0.35">
      <c r="A383">
        <v>7086361926</v>
      </c>
      <c r="B383" s="1">
        <v>42464</v>
      </c>
      <c r="C383">
        <v>6101</v>
      </c>
      <c r="D383">
        <v>3.8699998855590798</v>
      </c>
      <c r="E383">
        <v>3.8699998855590798</v>
      </c>
      <c r="F383">
        <v>0</v>
      </c>
      <c r="G383">
        <v>0.52999997138977095</v>
      </c>
      <c r="H383">
        <v>0.230000004172325</v>
      </c>
      <c r="I383">
        <v>3.0999999046325701</v>
      </c>
      <c r="J383">
        <v>0</v>
      </c>
      <c r="K383">
        <v>31</v>
      </c>
      <c r="L383">
        <v>24</v>
      </c>
      <c r="M383">
        <v>138</v>
      </c>
      <c r="N383">
        <v>1247</v>
      </c>
      <c r="O383">
        <v>2421</v>
      </c>
    </row>
    <row r="384" spans="1:15" x14ac:dyDescent="0.35">
      <c r="A384">
        <v>7086361926</v>
      </c>
      <c r="B384" s="1">
        <v>42465</v>
      </c>
      <c r="C384">
        <v>7478</v>
      </c>
      <c r="D384">
        <v>4.9899997711181596</v>
      </c>
      <c r="E384">
        <v>4.9899997711181596</v>
      </c>
      <c r="F384">
        <v>0</v>
      </c>
      <c r="G384">
        <v>1.79999995231628</v>
      </c>
      <c r="H384">
        <v>0.52999997138977095</v>
      </c>
      <c r="I384">
        <v>2.6099998950958301</v>
      </c>
      <c r="J384">
        <v>2.9999999329447701E-2</v>
      </c>
      <c r="K384">
        <v>25</v>
      </c>
      <c r="L384">
        <v>33</v>
      </c>
      <c r="M384">
        <v>132</v>
      </c>
      <c r="N384">
        <v>1159</v>
      </c>
      <c r="O384">
        <v>2439</v>
      </c>
    </row>
    <row r="385" spans="1:15" x14ac:dyDescent="0.35">
      <c r="A385">
        <v>7086361926</v>
      </c>
      <c r="B385" s="1">
        <v>42466</v>
      </c>
      <c r="C385">
        <v>7352</v>
      </c>
      <c r="D385">
        <v>4.7300000190734899</v>
      </c>
      <c r="E385">
        <v>4.7300000190734899</v>
      </c>
      <c r="F385">
        <v>0</v>
      </c>
      <c r="G385">
        <v>1.4099999666214</v>
      </c>
      <c r="H385">
        <v>0.77999997138977095</v>
      </c>
      <c r="I385">
        <v>2.5299999713897701</v>
      </c>
      <c r="J385">
        <v>0</v>
      </c>
      <c r="K385">
        <v>19</v>
      </c>
      <c r="L385">
        <v>14</v>
      </c>
      <c r="M385">
        <v>124</v>
      </c>
      <c r="N385">
        <v>814</v>
      </c>
      <c r="O385">
        <v>2233</v>
      </c>
    </row>
    <row r="386" spans="1:15" x14ac:dyDescent="0.35">
      <c r="A386">
        <v>7086361926</v>
      </c>
      <c r="B386" s="1">
        <v>42467</v>
      </c>
      <c r="C386">
        <v>14604</v>
      </c>
      <c r="D386">
        <v>10.819999694824199</v>
      </c>
      <c r="E386">
        <v>10.819999694824199</v>
      </c>
      <c r="F386">
        <v>0</v>
      </c>
      <c r="G386">
        <v>7.2300000190734899</v>
      </c>
      <c r="H386">
        <v>1.12000000476837</v>
      </c>
      <c r="I386">
        <v>2.4300000667571999</v>
      </c>
      <c r="J386">
        <v>2.9999999329447701E-2</v>
      </c>
      <c r="K386">
        <v>76</v>
      </c>
      <c r="L386">
        <v>30</v>
      </c>
      <c r="M386">
        <v>127</v>
      </c>
      <c r="N386">
        <v>695</v>
      </c>
      <c r="O386">
        <v>2862</v>
      </c>
    </row>
    <row r="387" spans="1:15" x14ac:dyDescent="0.35">
      <c r="A387">
        <v>7086361926</v>
      </c>
      <c r="B387" s="1">
        <v>42468</v>
      </c>
      <c r="C387">
        <v>9634</v>
      </c>
      <c r="D387">
        <v>6.5199999809265101</v>
      </c>
      <c r="E387">
        <v>6.5199999809265101</v>
      </c>
      <c r="F387">
        <v>0</v>
      </c>
      <c r="G387">
        <v>2.5</v>
      </c>
      <c r="H387">
        <v>1.3999999761581401</v>
      </c>
      <c r="I387">
        <v>2.5899999141693102</v>
      </c>
      <c r="J387">
        <v>0</v>
      </c>
      <c r="K387">
        <v>50</v>
      </c>
      <c r="L387">
        <v>48</v>
      </c>
      <c r="M387">
        <v>140</v>
      </c>
      <c r="N387">
        <v>797</v>
      </c>
      <c r="O387">
        <v>2752</v>
      </c>
    </row>
    <row r="388" spans="1:15" x14ac:dyDescent="0.35">
      <c r="A388">
        <v>7086361926</v>
      </c>
      <c r="B388" s="1">
        <v>42469</v>
      </c>
      <c r="C388">
        <v>7338</v>
      </c>
      <c r="D388">
        <v>4.6700000762939498</v>
      </c>
      <c r="E388">
        <v>4.6700000762939498</v>
      </c>
      <c r="F388">
        <v>0</v>
      </c>
      <c r="G388">
        <v>1.08000004291534</v>
      </c>
      <c r="H388">
        <v>0.129999995231628</v>
      </c>
      <c r="I388">
        <v>3.46000003814697</v>
      </c>
      <c r="J388">
        <v>0</v>
      </c>
      <c r="K388">
        <v>27</v>
      </c>
      <c r="L388">
        <v>5</v>
      </c>
      <c r="M388">
        <v>204</v>
      </c>
      <c r="N388">
        <v>717</v>
      </c>
      <c r="O388">
        <v>2519</v>
      </c>
    </row>
    <row r="389" spans="1:15" x14ac:dyDescent="0.35">
      <c r="A389">
        <v>7086361926</v>
      </c>
      <c r="B389" s="1">
        <v>42470</v>
      </c>
      <c r="C389">
        <v>569</v>
      </c>
      <c r="D389">
        <v>0.34999999403953602</v>
      </c>
      <c r="E389">
        <v>0.34999999403953602</v>
      </c>
      <c r="F389">
        <v>0</v>
      </c>
      <c r="G389">
        <v>0</v>
      </c>
      <c r="H389">
        <v>0</v>
      </c>
      <c r="I389">
        <v>0.34000000357627902</v>
      </c>
      <c r="J389">
        <v>0</v>
      </c>
      <c r="K389">
        <v>0</v>
      </c>
      <c r="L389">
        <v>0</v>
      </c>
      <c r="M389">
        <v>27</v>
      </c>
      <c r="N389">
        <v>1368</v>
      </c>
      <c r="O389">
        <v>1799</v>
      </c>
    </row>
    <row r="390" spans="1:15" x14ac:dyDescent="0.35">
      <c r="A390">
        <v>7086361926</v>
      </c>
      <c r="B390" s="1">
        <v>42471</v>
      </c>
      <c r="C390">
        <v>6242</v>
      </c>
      <c r="D390">
        <v>3.9200000762939502</v>
      </c>
      <c r="E390">
        <v>3.9200000762939502</v>
      </c>
      <c r="F390">
        <v>0</v>
      </c>
      <c r="G390">
        <v>0.74000000953674305</v>
      </c>
      <c r="H390">
        <v>0.230000004172325</v>
      </c>
      <c r="I390">
        <v>2.9300000667571999</v>
      </c>
      <c r="J390">
        <v>0</v>
      </c>
      <c r="K390">
        <v>46</v>
      </c>
      <c r="L390">
        <v>22</v>
      </c>
      <c r="M390">
        <v>126</v>
      </c>
      <c r="N390">
        <v>741</v>
      </c>
      <c r="O390">
        <v>2543</v>
      </c>
    </row>
    <row r="391" spans="1:15" x14ac:dyDescent="0.35">
      <c r="A391">
        <v>7086361926</v>
      </c>
      <c r="B391" s="1">
        <v>42472</v>
      </c>
      <c r="C391">
        <v>430</v>
      </c>
      <c r="D391">
        <v>0.259999990463257</v>
      </c>
      <c r="E391">
        <v>0.259999990463257</v>
      </c>
      <c r="F391">
        <v>0</v>
      </c>
      <c r="G391">
        <v>0</v>
      </c>
      <c r="H391">
        <v>0</v>
      </c>
      <c r="I391">
        <v>0.259999990463257</v>
      </c>
      <c r="J391">
        <v>0</v>
      </c>
      <c r="K391">
        <v>0</v>
      </c>
      <c r="L391">
        <v>0</v>
      </c>
      <c r="M391">
        <v>14</v>
      </c>
      <c r="N391">
        <v>75</v>
      </c>
      <c r="O391">
        <v>625</v>
      </c>
    </row>
    <row r="392" spans="1:15" x14ac:dyDescent="0.35">
      <c r="A392">
        <v>8053475328</v>
      </c>
      <c r="B392" s="1">
        <v>42462</v>
      </c>
      <c r="C392">
        <v>20188</v>
      </c>
      <c r="D392">
        <v>15.6199998855591</v>
      </c>
      <c r="E392">
        <v>15.6199998855591</v>
      </c>
      <c r="F392">
        <v>0</v>
      </c>
      <c r="G392">
        <v>12.060000419616699</v>
      </c>
      <c r="H392">
        <v>0.85000002384185802</v>
      </c>
      <c r="I392">
        <v>2.71000003814697</v>
      </c>
      <c r="J392">
        <v>0</v>
      </c>
      <c r="K392">
        <v>124</v>
      </c>
      <c r="L392">
        <v>19</v>
      </c>
      <c r="M392">
        <v>172</v>
      </c>
      <c r="N392">
        <v>1125</v>
      </c>
      <c r="O392">
        <v>3377</v>
      </c>
    </row>
    <row r="393" spans="1:15" x14ac:dyDescent="0.35">
      <c r="A393">
        <v>8053475328</v>
      </c>
      <c r="B393" s="1">
        <v>42463</v>
      </c>
      <c r="C393">
        <v>25701</v>
      </c>
      <c r="D393">
        <v>20.139999389648398</v>
      </c>
      <c r="E393">
        <v>20.139999389648398</v>
      </c>
      <c r="F393">
        <v>0</v>
      </c>
      <c r="G393">
        <v>16.819999694824201</v>
      </c>
      <c r="H393">
        <v>1.62999999523163</v>
      </c>
      <c r="I393">
        <v>1.6900000572204601</v>
      </c>
      <c r="J393">
        <v>0</v>
      </c>
      <c r="K393">
        <v>165</v>
      </c>
      <c r="L393">
        <v>36</v>
      </c>
      <c r="M393">
        <v>97</v>
      </c>
      <c r="N393">
        <v>1142</v>
      </c>
      <c r="O393">
        <v>3697</v>
      </c>
    </row>
    <row r="394" spans="1:15" x14ac:dyDescent="0.35">
      <c r="A394">
        <v>8053475328</v>
      </c>
      <c r="B394" s="1">
        <v>42464</v>
      </c>
      <c r="C394">
        <v>17395</v>
      </c>
      <c r="D394">
        <v>13.210000038146999</v>
      </c>
      <c r="E394">
        <v>13.210000038146999</v>
      </c>
      <c r="F394">
        <v>0</v>
      </c>
      <c r="G394">
        <v>9.6700000762939506</v>
      </c>
      <c r="H394">
        <v>0.18000000715255701</v>
      </c>
      <c r="I394">
        <v>3.3499999046325701</v>
      </c>
      <c r="J394">
        <v>0</v>
      </c>
      <c r="K394">
        <v>100</v>
      </c>
      <c r="L394">
        <v>4</v>
      </c>
      <c r="M394">
        <v>213</v>
      </c>
      <c r="N394">
        <v>1123</v>
      </c>
      <c r="O394">
        <v>3209</v>
      </c>
    </row>
    <row r="395" spans="1:15" x14ac:dyDescent="0.35">
      <c r="A395">
        <v>8053475328</v>
      </c>
      <c r="B395" s="1">
        <v>42465</v>
      </c>
      <c r="C395">
        <v>17167</v>
      </c>
      <c r="D395">
        <v>13.4099998474121</v>
      </c>
      <c r="E395">
        <v>13.4099998474121</v>
      </c>
      <c r="F395">
        <v>0</v>
      </c>
      <c r="G395">
        <v>9.9600000381469709</v>
      </c>
      <c r="H395">
        <v>0.31000000238418601</v>
      </c>
      <c r="I395">
        <v>3.1400001049041699</v>
      </c>
      <c r="J395">
        <v>0</v>
      </c>
      <c r="K395">
        <v>98</v>
      </c>
      <c r="L395">
        <v>8</v>
      </c>
      <c r="M395">
        <v>184</v>
      </c>
      <c r="N395">
        <v>1150</v>
      </c>
      <c r="O395">
        <v>3167</v>
      </c>
    </row>
    <row r="396" spans="1:15" x14ac:dyDescent="0.35">
      <c r="A396">
        <v>8053475328</v>
      </c>
      <c r="B396" s="1">
        <v>42466</v>
      </c>
      <c r="C396">
        <v>16435</v>
      </c>
      <c r="D396">
        <v>12.420000076293899</v>
      </c>
      <c r="E396">
        <v>12.420000076293899</v>
      </c>
      <c r="F396">
        <v>0</v>
      </c>
      <c r="G396">
        <v>8.9600000381469709</v>
      </c>
      <c r="H396">
        <v>0.55000001192092896</v>
      </c>
      <c r="I396">
        <v>2.9100000858306898</v>
      </c>
      <c r="J396">
        <v>0</v>
      </c>
      <c r="K396">
        <v>100</v>
      </c>
      <c r="L396">
        <v>14</v>
      </c>
      <c r="M396">
        <v>191</v>
      </c>
      <c r="N396">
        <v>1135</v>
      </c>
      <c r="O396">
        <v>3122</v>
      </c>
    </row>
    <row r="397" spans="1:15" x14ac:dyDescent="0.35">
      <c r="A397">
        <v>8053475328</v>
      </c>
      <c r="B397" s="1">
        <v>42467</v>
      </c>
      <c r="C397">
        <v>17078</v>
      </c>
      <c r="D397">
        <v>13.199999809265099</v>
      </c>
      <c r="E397">
        <v>13.199999809265099</v>
      </c>
      <c r="F397">
        <v>0</v>
      </c>
      <c r="G397">
        <v>9.9700002670288104</v>
      </c>
      <c r="H397">
        <v>0.239999994635582</v>
      </c>
      <c r="I397">
        <v>2.9900000095367401</v>
      </c>
      <c r="J397">
        <v>0</v>
      </c>
      <c r="K397">
        <v>101</v>
      </c>
      <c r="L397">
        <v>6</v>
      </c>
      <c r="M397">
        <v>190</v>
      </c>
      <c r="N397">
        <v>1143</v>
      </c>
      <c r="O397">
        <v>3176</v>
      </c>
    </row>
    <row r="398" spans="1:15" x14ac:dyDescent="0.35">
      <c r="A398">
        <v>8053475328</v>
      </c>
      <c r="B398" s="1">
        <v>42468</v>
      </c>
      <c r="C398">
        <v>11693</v>
      </c>
      <c r="D398">
        <v>9.5399999618530291</v>
      </c>
      <c r="E398">
        <v>9.5399999618530291</v>
      </c>
      <c r="F398">
        <v>0</v>
      </c>
      <c r="G398">
        <v>6.7699999809265101</v>
      </c>
      <c r="H398">
        <v>0.259999990463257</v>
      </c>
      <c r="I398">
        <v>2.5</v>
      </c>
      <c r="J398">
        <v>0</v>
      </c>
      <c r="K398">
        <v>60</v>
      </c>
      <c r="L398">
        <v>6</v>
      </c>
      <c r="M398">
        <v>153</v>
      </c>
      <c r="N398">
        <v>1221</v>
      </c>
      <c r="O398">
        <v>2790</v>
      </c>
    </row>
    <row r="399" spans="1:15" x14ac:dyDescent="0.35">
      <c r="A399">
        <v>8053475328</v>
      </c>
      <c r="B399" s="1">
        <v>42469</v>
      </c>
      <c r="C399">
        <v>11159</v>
      </c>
      <c r="D399">
        <v>9.1400003433227504</v>
      </c>
      <c r="E399">
        <v>9.1400003433227504</v>
      </c>
      <c r="F399">
        <v>0</v>
      </c>
      <c r="G399">
        <v>6.6900000572204599</v>
      </c>
      <c r="H399">
        <v>0.25</v>
      </c>
      <c r="I399">
        <v>2.1900000572204599</v>
      </c>
      <c r="J399">
        <v>0</v>
      </c>
      <c r="K399">
        <v>59</v>
      </c>
      <c r="L399">
        <v>6</v>
      </c>
      <c r="M399">
        <v>120</v>
      </c>
      <c r="N399">
        <v>1255</v>
      </c>
      <c r="O399">
        <v>2715</v>
      </c>
    </row>
    <row r="400" spans="1:15" x14ac:dyDescent="0.35">
      <c r="A400">
        <v>8053475328</v>
      </c>
      <c r="B400" s="1">
        <v>42470</v>
      </c>
      <c r="C400">
        <v>10118</v>
      </c>
      <c r="D400">
        <v>7.7300000190734899</v>
      </c>
      <c r="E400">
        <v>7.7300000190734899</v>
      </c>
      <c r="F400">
        <v>0</v>
      </c>
      <c r="G400">
        <v>3.0499999523162802</v>
      </c>
      <c r="H400">
        <v>0.80000001192092896</v>
      </c>
      <c r="I400">
        <v>3.8800001144409202</v>
      </c>
      <c r="J400">
        <v>0</v>
      </c>
      <c r="K400">
        <v>30</v>
      </c>
      <c r="L400">
        <v>18</v>
      </c>
      <c r="M400">
        <v>207</v>
      </c>
      <c r="N400">
        <v>1185</v>
      </c>
      <c r="O400">
        <v>2684</v>
      </c>
    </row>
    <row r="401" spans="1:15" x14ac:dyDescent="0.35">
      <c r="A401">
        <v>8053475328</v>
      </c>
      <c r="B401" s="1">
        <v>42471</v>
      </c>
      <c r="C401">
        <v>16064</v>
      </c>
      <c r="D401">
        <v>12.7200002670288</v>
      </c>
      <c r="E401">
        <v>12.7200002670288</v>
      </c>
      <c r="F401">
        <v>0</v>
      </c>
      <c r="G401">
        <v>9.9799995422363299</v>
      </c>
      <c r="H401">
        <v>0.36000001430511502</v>
      </c>
      <c r="I401">
        <v>2.3800001144409202</v>
      </c>
      <c r="J401">
        <v>0</v>
      </c>
      <c r="K401">
        <v>96</v>
      </c>
      <c r="L401">
        <v>8</v>
      </c>
      <c r="M401">
        <v>155</v>
      </c>
      <c r="N401">
        <v>1181</v>
      </c>
      <c r="O401">
        <v>3097</v>
      </c>
    </row>
    <row r="402" spans="1:15" x14ac:dyDescent="0.35">
      <c r="A402">
        <v>8053475328</v>
      </c>
      <c r="B402" s="1">
        <v>42472</v>
      </c>
      <c r="C402">
        <v>290</v>
      </c>
      <c r="D402">
        <v>0.20999999344348899</v>
      </c>
      <c r="E402">
        <v>0.20999999344348899</v>
      </c>
      <c r="F402">
        <v>0</v>
      </c>
      <c r="G402">
        <v>0</v>
      </c>
      <c r="H402">
        <v>0</v>
      </c>
      <c r="I402">
        <v>0.20999999344348899</v>
      </c>
      <c r="J402">
        <v>0</v>
      </c>
      <c r="K402">
        <v>0</v>
      </c>
      <c r="L402">
        <v>0</v>
      </c>
      <c r="M402">
        <v>16</v>
      </c>
      <c r="N402">
        <v>599</v>
      </c>
      <c r="O402">
        <v>791</v>
      </c>
    </row>
    <row r="403" spans="1:15" x14ac:dyDescent="0.35">
      <c r="A403">
        <v>8253242879</v>
      </c>
      <c r="B403" s="1">
        <v>42461</v>
      </c>
      <c r="C403">
        <v>0</v>
      </c>
      <c r="D403">
        <v>0</v>
      </c>
      <c r="E403">
        <v>0</v>
      </c>
      <c r="F403">
        <v>0</v>
      </c>
      <c r="G403">
        <v>0</v>
      </c>
      <c r="H403">
        <v>0</v>
      </c>
      <c r="I403">
        <v>0</v>
      </c>
      <c r="J403">
        <v>0</v>
      </c>
      <c r="K403">
        <v>0</v>
      </c>
      <c r="L403">
        <v>0</v>
      </c>
      <c r="M403">
        <v>0</v>
      </c>
      <c r="N403">
        <v>1440</v>
      </c>
      <c r="O403">
        <v>1429</v>
      </c>
    </row>
    <row r="404" spans="1:15" x14ac:dyDescent="0.35">
      <c r="A404">
        <v>8253242879</v>
      </c>
      <c r="B404" s="1">
        <v>42462</v>
      </c>
      <c r="C404">
        <v>0</v>
      </c>
      <c r="D404">
        <v>0</v>
      </c>
      <c r="E404">
        <v>0</v>
      </c>
      <c r="F404">
        <v>0</v>
      </c>
      <c r="G404">
        <v>0</v>
      </c>
      <c r="H404">
        <v>0</v>
      </c>
      <c r="I404">
        <v>0</v>
      </c>
      <c r="J404">
        <v>0</v>
      </c>
      <c r="K404">
        <v>0</v>
      </c>
      <c r="L404">
        <v>0</v>
      </c>
      <c r="M404">
        <v>0</v>
      </c>
      <c r="N404">
        <v>1440</v>
      </c>
      <c r="O404">
        <v>1429</v>
      </c>
    </row>
    <row r="405" spans="1:15" x14ac:dyDescent="0.35">
      <c r="A405">
        <v>8253242879</v>
      </c>
      <c r="B405" s="1">
        <v>42463</v>
      </c>
      <c r="C405">
        <v>0</v>
      </c>
      <c r="D405">
        <v>0</v>
      </c>
      <c r="E405">
        <v>0</v>
      </c>
      <c r="F405">
        <v>0</v>
      </c>
      <c r="G405">
        <v>0</v>
      </c>
      <c r="H405">
        <v>0</v>
      </c>
      <c r="I405">
        <v>0</v>
      </c>
      <c r="J405">
        <v>0</v>
      </c>
      <c r="K405">
        <v>0</v>
      </c>
      <c r="L405">
        <v>0</v>
      </c>
      <c r="M405">
        <v>0</v>
      </c>
      <c r="N405">
        <v>1440</v>
      </c>
      <c r="O405">
        <v>1429</v>
      </c>
    </row>
    <row r="406" spans="1:15" x14ac:dyDescent="0.35">
      <c r="A406">
        <v>8253242879</v>
      </c>
      <c r="B406" s="1">
        <v>42464</v>
      </c>
      <c r="C406">
        <v>0</v>
      </c>
      <c r="D406">
        <v>0</v>
      </c>
      <c r="E406">
        <v>0</v>
      </c>
      <c r="F406">
        <v>0</v>
      </c>
      <c r="G406">
        <v>0</v>
      </c>
      <c r="H406">
        <v>0</v>
      </c>
      <c r="I406">
        <v>0</v>
      </c>
      <c r="J406">
        <v>0</v>
      </c>
      <c r="K406">
        <v>0</v>
      </c>
      <c r="L406">
        <v>0</v>
      </c>
      <c r="M406">
        <v>0</v>
      </c>
      <c r="N406">
        <v>1440</v>
      </c>
      <c r="O406">
        <v>1429</v>
      </c>
    </row>
    <row r="407" spans="1:15" x14ac:dyDescent="0.35">
      <c r="A407">
        <v>8253242879</v>
      </c>
      <c r="B407" s="1">
        <v>42465</v>
      </c>
      <c r="C407">
        <v>0</v>
      </c>
      <c r="D407">
        <v>0</v>
      </c>
      <c r="E407">
        <v>0</v>
      </c>
      <c r="F407">
        <v>0</v>
      </c>
      <c r="G407">
        <v>0</v>
      </c>
      <c r="H407">
        <v>0</v>
      </c>
      <c r="I407">
        <v>0</v>
      </c>
      <c r="J407">
        <v>0</v>
      </c>
      <c r="K407">
        <v>0</v>
      </c>
      <c r="L407">
        <v>0</v>
      </c>
      <c r="M407">
        <v>0</v>
      </c>
      <c r="N407">
        <v>1440</v>
      </c>
      <c r="O407">
        <v>1429</v>
      </c>
    </row>
    <row r="408" spans="1:15" x14ac:dyDescent="0.35">
      <c r="A408">
        <v>8253242879</v>
      </c>
      <c r="B408" s="1">
        <v>42466</v>
      </c>
      <c r="C408">
        <v>1931</v>
      </c>
      <c r="D408">
        <v>1.2799999713897701</v>
      </c>
      <c r="E408">
        <v>1.2799999713897701</v>
      </c>
      <c r="F408">
        <v>0</v>
      </c>
      <c r="G408">
        <v>0</v>
      </c>
      <c r="H408">
        <v>0</v>
      </c>
      <c r="I408">
        <v>1.2799999713897701</v>
      </c>
      <c r="J408">
        <v>0</v>
      </c>
      <c r="K408">
        <v>0</v>
      </c>
      <c r="L408">
        <v>0</v>
      </c>
      <c r="M408">
        <v>94</v>
      </c>
      <c r="N408">
        <v>1346</v>
      </c>
      <c r="O408">
        <v>1607</v>
      </c>
    </row>
    <row r="409" spans="1:15" x14ac:dyDescent="0.35">
      <c r="A409">
        <v>8253242879</v>
      </c>
      <c r="B409" s="1">
        <v>42467</v>
      </c>
      <c r="C409">
        <v>5181</v>
      </c>
      <c r="D409">
        <v>3.4200000762939502</v>
      </c>
      <c r="E409">
        <v>3.4200000762939502</v>
      </c>
      <c r="F409">
        <v>0</v>
      </c>
      <c r="G409">
        <v>1</v>
      </c>
      <c r="H409">
        <v>0.91000002622604403</v>
      </c>
      <c r="I409">
        <v>1.5099999904632599</v>
      </c>
      <c r="J409">
        <v>9.9999997764825804E-3</v>
      </c>
      <c r="K409">
        <v>15</v>
      </c>
      <c r="L409">
        <v>15</v>
      </c>
      <c r="M409">
        <v>107</v>
      </c>
      <c r="N409">
        <v>1303</v>
      </c>
      <c r="O409">
        <v>1776</v>
      </c>
    </row>
    <row r="410" spans="1:15" x14ac:dyDescent="0.35">
      <c r="A410">
        <v>8253242879</v>
      </c>
      <c r="B410" s="1">
        <v>42468</v>
      </c>
      <c r="C410">
        <v>12026</v>
      </c>
      <c r="D410">
        <v>9.1499996185302699</v>
      </c>
      <c r="E410">
        <v>9.1499996185302699</v>
      </c>
      <c r="F410">
        <v>0</v>
      </c>
      <c r="G410">
        <v>5.6999998092651403</v>
      </c>
      <c r="H410">
        <v>0.93000000715255704</v>
      </c>
      <c r="I410">
        <v>2.5099999904632599</v>
      </c>
      <c r="J410">
        <v>0</v>
      </c>
      <c r="K410">
        <v>47</v>
      </c>
      <c r="L410">
        <v>13</v>
      </c>
      <c r="M410">
        <v>150</v>
      </c>
      <c r="N410">
        <v>1230</v>
      </c>
      <c r="O410">
        <v>2162</v>
      </c>
    </row>
    <row r="411" spans="1:15" x14ac:dyDescent="0.35">
      <c r="A411">
        <v>8253242879</v>
      </c>
      <c r="B411" s="1">
        <v>42469</v>
      </c>
      <c r="C411">
        <v>5360</v>
      </c>
      <c r="D411">
        <v>3.53999996185303</v>
      </c>
      <c r="E411">
        <v>3.53999996185303</v>
      </c>
      <c r="F411">
        <v>0</v>
      </c>
      <c r="G411">
        <v>0.54000002145767201</v>
      </c>
      <c r="H411">
        <v>1.54999995231628</v>
      </c>
      <c r="I411">
        <v>1.46000003814697</v>
      </c>
      <c r="J411">
        <v>0</v>
      </c>
      <c r="K411">
        <v>8</v>
      </c>
      <c r="L411">
        <v>28</v>
      </c>
      <c r="M411">
        <v>148</v>
      </c>
      <c r="N411">
        <v>1256</v>
      </c>
      <c r="O411">
        <v>1832</v>
      </c>
    </row>
    <row r="412" spans="1:15" x14ac:dyDescent="0.35">
      <c r="A412">
        <v>8253242879</v>
      </c>
      <c r="B412" s="1">
        <v>42470</v>
      </c>
      <c r="C412">
        <v>2545</v>
      </c>
      <c r="D412">
        <v>1.6799999475479099</v>
      </c>
      <c r="E412">
        <v>1.6799999475479099</v>
      </c>
      <c r="F412">
        <v>0</v>
      </c>
      <c r="G412">
        <v>0</v>
      </c>
      <c r="H412">
        <v>0</v>
      </c>
      <c r="I412">
        <v>1.66999995708466</v>
      </c>
      <c r="J412">
        <v>1.9999999552965199E-2</v>
      </c>
      <c r="K412">
        <v>0</v>
      </c>
      <c r="L412">
        <v>0</v>
      </c>
      <c r="M412">
        <v>126</v>
      </c>
      <c r="N412">
        <v>1314</v>
      </c>
      <c r="O412">
        <v>1657</v>
      </c>
    </row>
    <row r="413" spans="1:15" x14ac:dyDescent="0.35">
      <c r="A413">
        <v>8253242879</v>
      </c>
      <c r="B413" s="1">
        <v>42471</v>
      </c>
      <c r="C413">
        <v>1636</v>
      </c>
      <c r="D413">
        <v>1.08000004291534</v>
      </c>
      <c r="E413">
        <v>1.08000004291534</v>
      </c>
      <c r="F413">
        <v>0</v>
      </c>
      <c r="G413">
        <v>0</v>
      </c>
      <c r="H413">
        <v>0</v>
      </c>
      <c r="I413">
        <v>1.08000004291534</v>
      </c>
      <c r="J413">
        <v>0</v>
      </c>
      <c r="K413">
        <v>0</v>
      </c>
      <c r="L413">
        <v>0</v>
      </c>
      <c r="M413">
        <v>86</v>
      </c>
      <c r="N413">
        <v>1139</v>
      </c>
      <c r="O413">
        <v>1377</v>
      </c>
    </row>
    <row r="414" spans="1:15" x14ac:dyDescent="0.35">
      <c r="A414">
        <v>8253242879</v>
      </c>
      <c r="B414" s="1">
        <v>42472</v>
      </c>
      <c r="C414">
        <v>0</v>
      </c>
      <c r="D414">
        <v>0</v>
      </c>
      <c r="E414">
        <v>0</v>
      </c>
      <c r="F414">
        <v>0</v>
      </c>
      <c r="G414">
        <v>0</v>
      </c>
      <c r="H414">
        <v>0</v>
      </c>
      <c r="I414">
        <v>0</v>
      </c>
      <c r="J414">
        <v>0</v>
      </c>
      <c r="K414">
        <v>0</v>
      </c>
      <c r="L414">
        <v>0</v>
      </c>
      <c r="M414">
        <v>0</v>
      </c>
      <c r="N414">
        <v>1440</v>
      </c>
      <c r="O414">
        <v>0</v>
      </c>
    </row>
    <row r="415" spans="1:15" x14ac:dyDescent="0.35">
      <c r="A415">
        <v>8378563200</v>
      </c>
      <c r="B415" s="1">
        <v>42461</v>
      </c>
      <c r="C415">
        <v>14179</v>
      </c>
      <c r="D415">
        <v>11.2399997711182</v>
      </c>
      <c r="E415">
        <v>11.2399997711182</v>
      </c>
      <c r="F415">
        <v>0</v>
      </c>
      <c r="G415">
        <v>6.2300000190734899</v>
      </c>
      <c r="H415">
        <v>1.0599999427795399</v>
      </c>
      <c r="I415">
        <v>3.96000003814697</v>
      </c>
      <c r="J415">
        <v>0</v>
      </c>
      <c r="K415">
        <v>73</v>
      </c>
      <c r="L415">
        <v>21</v>
      </c>
      <c r="M415">
        <v>195</v>
      </c>
      <c r="N415">
        <v>719</v>
      </c>
      <c r="O415">
        <v>3669</v>
      </c>
    </row>
    <row r="416" spans="1:15" x14ac:dyDescent="0.35">
      <c r="A416">
        <v>8378563200</v>
      </c>
      <c r="B416" s="1">
        <v>42462</v>
      </c>
      <c r="C416">
        <v>3358</v>
      </c>
      <c r="D416">
        <v>2.6600000858306898</v>
      </c>
      <c r="E416">
        <v>2.6600000858306898</v>
      </c>
      <c r="F416">
        <v>0</v>
      </c>
      <c r="G416">
        <v>0</v>
      </c>
      <c r="H416">
        <v>0</v>
      </c>
      <c r="I416">
        <v>2.6600000858306898</v>
      </c>
      <c r="J416">
        <v>0</v>
      </c>
      <c r="K416">
        <v>0</v>
      </c>
      <c r="L416">
        <v>0</v>
      </c>
      <c r="M416">
        <v>144</v>
      </c>
      <c r="N416">
        <v>657</v>
      </c>
      <c r="O416">
        <v>2702</v>
      </c>
    </row>
    <row r="417" spans="1:15" x14ac:dyDescent="0.35">
      <c r="A417">
        <v>8378563200</v>
      </c>
      <c r="B417" s="1">
        <v>42463</v>
      </c>
      <c r="C417">
        <v>9152</v>
      </c>
      <c r="D417">
        <v>7.2600002288818404</v>
      </c>
      <c r="E417">
        <v>7.2600002288818404</v>
      </c>
      <c r="F417">
        <v>0</v>
      </c>
      <c r="G417">
        <v>1.9900000095367401</v>
      </c>
      <c r="H417">
        <v>0.81999999284744296</v>
      </c>
      <c r="I417">
        <v>4.4499998092651403</v>
      </c>
      <c r="J417">
        <v>0</v>
      </c>
      <c r="K417">
        <v>25</v>
      </c>
      <c r="L417">
        <v>13</v>
      </c>
      <c r="M417">
        <v>243</v>
      </c>
      <c r="N417">
        <v>600</v>
      </c>
      <c r="O417">
        <v>3304</v>
      </c>
    </row>
    <row r="418" spans="1:15" x14ac:dyDescent="0.35">
      <c r="A418">
        <v>8378563200</v>
      </c>
      <c r="B418" s="1">
        <v>42464</v>
      </c>
      <c r="C418">
        <v>13935</v>
      </c>
      <c r="D418">
        <v>11.050000190734901</v>
      </c>
      <c r="E418">
        <v>11.050000190734901</v>
      </c>
      <c r="F418">
        <v>2.0921471118927002</v>
      </c>
      <c r="G418">
        <v>4.0900001525878897</v>
      </c>
      <c r="H418">
        <v>0.79000002145767201</v>
      </c>
      <c r="I418">
        <v>6.1700000762939498</v>
      </c>
      <c r="J418">
        <v>0</v>
      </c>
      <c r="K418">
        <v>105</v>
      </c>
      <c r="L418">
        <v>16</v>
      </c>
      <c r="M418">
        <v>220</v>
      </c>
      <c r="N418">
        <v>658</v>
      </c>
      <c r="O418">
        <v>4234</v>
      </c>
    </row>
    <row r="419" spans="1:15" x14ac:dyDescent="0.35">
      <c r="A419">
        <v>8378563200</v>
      </c>
      <c r="B419" s="1">
        <v>42465</v>
      </c>
      <c r="C419">
        <v>12846</v>
      </c>
      <c r="D419">
        <v>10.189999580383301</v>
      </c>
      <c r="E419">
        <v>10.189999580383301</v>
      </c>
      <c r="F419">
        <v>2.2530810832977299</v>
      </c>
      <c r="G419">
        <v>5</v>
      </c>
      <c r="H419">
        <v>0.75</v>
      </c>
      <c r="I419">
        <v>4.4400000572204599</v>
      </c>
      <c r="J419">
        <v>0</v>
      </c>
      <c r="K419">
        <v>113</v>
      </c>
      <c r="L419">
        <v>15</v>
      </c>
      <c r="M419">
        <v>189</v>
      </c>
      <c r="N419">
        <v>686</v>
      </c>
      <c r="O419">
        <v>4128</v>
      </c>
    </row>
    <row r="420" spans="1:15" x14ac:dyDescent="0.35">
      <c r="A420">
        <v>8378563200</v>
      </c>
      <c r="B420" s="1">
        <v>42466</v>
      </c>
      <c r="C420">
        <v>9124</v>
      </c>
      <c r="D420">
        <v>7.2399997711181596</v>
      </c>
      <c r="E420">
        <v>7.2399997711181596</v>
      </c>
      <c r="F420">
        <v>2.0921471118927002</v>
      </c>
      <c r="G420">
        <v>0</v>
      </c>
      <c r="H420">
        <v>0.25</v>
      </c>
      <c r="I420">
        <v>6.9899997711181596</v>
      </c>
      <c r="J420">
        <v>0</v>
      </c>
      <c r="K420">
        <v>55</v>
      </c>
      <c r="L420">
        <v>6</v>
      </c>
      <c r="M420">
        <v>230</v>
      </c>
      <c r="N420">
        <v>728</v>
      </c>
      <c r="O420">
        <v>3798</v>
      </c>
    </row>
    <row r="421" spans="1:15" x14ac:dyDescent="0.35">
      <c r="A421">
        <v>8378563200</v>
      </c>
      <c r="B421" s="1">
        <v>42467</v>
      </c>
      <c r="C421">
        <v>9725</v>
      </c>
      <c r="D421">
        <v>7.71000003814697</v>
      </c>
      <c r="E421">
        <v>7.71000003814697</v>
      </c>
      <c r="F421">
        <v>2.2530810832977299</v>
      </c>
      <c r="G421">
        <v>2.4100000858306898</v>
      </c>
      <c r="H421">
        <v>0.52999997138977095</v>
      </c>
      <c r="I421">
        <v>4.7699999809265101</v>
      </c>
      <c r="J421">
        <v>0</v>
      </c>
      <c r="K421">
        <v>83</v>
      </c>
      <c r="L421">
        <v>11</v>
      </c>
      <c r="M421">
        <v>181</v>
      </c>
      <c r="N421">
        <v>670</v>
      </c>
      <c r="O421">
        <v>3839</v>
      </c>
    </row>
    <row r="422" spans="1:15" x14ac:dyDescent="0.35">
      <c r="A422">
        <v>8378563200</v>
      </c>
      <c r="B422" s="1">
        <v>42468</v>
      </c>
      <c r="C422">
        <v>8350</v>
      </c>
      <c r="D422">
        <v>6.6199998855590803</v>
      </c>
      <c r="E422">
        <v>6.6199998855590803</v>
      </c>
      <c r="F422">
        <v>2.0921471118927002</v>
      </c>
      <c r="G422">
        <v>1.4900000095367401</v>
      </c>
      <c r="H422">
        <v>0.52999997138977095</v>
      </c>
      <c r="I422">
        <v>4.6100001335143999</v>
      </c>
      <c r="J422">
        <v>0</v>
      </c>
      <c r="K422">
        <v>72</v>
      </c>
      <c r="L422">
        <v>10</v>
      </c>
      <c r="M422">
        <v>167</v>
      </c>
      <c r="N422">
        <v>868</v>
      </c>
      <c r="O422">
        <v>3713</v>
      </c>
    </row>
    <row r="423" spans="1:15" x14ac:dyDescent="0.35">
      <c r="A423">
        <v>8378563200</v>
      </c>
      <c r="B423" s="1">
        <v>42469</v>
      </c>
      <c r="C423">
        <v>2240</v>
      </c>
      <c r="D423">
        <v>1.7799999713897701</v>
      </c>
      <c r="E423">
        <v>1.7799999713897701</v>
      </c>
      <c r="F423">
        <v>0</v>
      </c>
      <c r="G423">
        <v>0</v>
      </c>
      <c r="H423">
        <v>0</v>
      </c>
      <c r="I423">
        <v>1.7799999713897701</v>
      </c>
      <c r="J423">
        <v>0</v>
      </c>
      <c r="K423">
        <v>0</v>
      </c>
      <c r="L423">
        <v>0</v>
      </c>
      <c r="M423">
        <v>110</v>
      </c>
      <c r="N423">
        <v>843</v>
      </c>
      <c r="O423">
        <v>2606</v>
      </c>
    </row>
    <row r="424" spans="1:15" x14ac:dyDescent="0.35">
      <c r="A424">
        <v>8378563200</v>
      </c>
      <c r="B424" s="1">
        <v>42470</v>
      </c>
      <c r="C424">
        <v>2631</v>
      </c>
      <c r="D424">
        <v>2.0899999141693102</v>
      </c>
      <c r="E424">
        <v>2.0899999141693102</v>
      </c>
      <c r="F424">
        <v>0</v>
      </c>
      <c r="G424">
        <v>0</v>
      </c>
      <c r="H424">
        <v>0</v>
      </c>
      <c r="I424">
        <v>2.0899999141693102</v>
      </c>
      <c r="J424">
        <v>0</v>
      </c>
      <c r="K424">
        <v>0</v>
      </c>
      <c r="L424">
        <v>0</v>
      </c>
      <c r="M424">
        <v>117</v>
      </c>
      <c r="N424">
        <v>727</v>
      </c>
      <c r="O424">
        <v>2624</v>
      </c>
    </row>
    <row r="425" spans="1:15" x14ac:dyDescent="0.35">
      <c r="A425">
        <v>8378563200</v>
      </c>
      <c r="B425" s="1">
        <v>42471</v>
      </c>
      <c r="C425">
        <v>8837</v>
      </c>
      <c r="D425">
        <v>7.0100002288818404</v>
      </c>
      <c r="E425">
        <v>7.0100002288818404</v>
      </c>
      <c r="F425">
        <v>2.0921471118927002</v>
      </c>
      <c r="G425">
        <v>1.53999996185303</v>
      </c>
      <c r="H425">
        <v>0.87999999523162797</v>
      </c>
      <c r="I425">
        <v>4.5900001525878897</v>
      </c>
      <c r="J425">
        <v>0</v>
      </c>
      <c r="K425">
        <v>74</v>
      </c>
      <c r="L425">
        <v>17</v>
      </c>
      <c r="M425">
        <v>182</v>
      </c>
      <c r="N425">
        <v>811</v>
      </c>
      <c r="O425">
        <v>3775</v>
      </c>
    </row>
    <row r="426" spans="1:15" x14ac:dyDescent="0.35">
      <c r="A426">
        <v>8378563200</v>
      </c>
      <c r="B426" s="1">
        <v>42472</v>
      </c>
      <c r="C426">
        <v>3246</v>
      </c>
      <c r="D426">
        <v>2.5699999332428001</v>
      </c>
      <c r="E426">
        <v>2.5699999332428001</v>
      </c>
      <c r="F426">
        <v>2.2530810832977299</v>
      </c>
      <c r="G426">
        <v>0.82999998331069902</v>
      </c>
      <c r="H426">
        <v>0.70999997854232799</v>
      </c>
      <c r="I426">
        <v>1.0299999713897701</v>
      </c>
      <c r="J426">
        <v>0</v>
      </c>
      <c r="K426">
        <v>65</v>
      </c>
      <c r="L426">
        <v>15</v>
      </c>
      <c r="M426">
        <v>49</v>
      </c>
      <c r="N426">
        <v>243</v>
      </c>
      <c r="O426">
        <v>1882</v>
      </c>
    </row>
    <row r="427" spans="1:15" x14ac:dyDescent="0.35">
      <c r="A427">
        <v>8583815059</v>
      </c>
      <c r="B427" s="1">
        <v>42461</v>
      </c>
      <c r="C427">
        <v>2174</v>
      </c>
      <c r="D427">
        <v>1.70000004768372</v>
      </c>
      <c r="E427">
        <v>1.70000004768372</v>
      </c>
      <c r="F427">
        <v>0</v>
      </c>
      <c r="G427">
        <v>0</v>
      </c>
      <c r="H427">
        <v>0</v>
      </c>
      <c r="I427">
        <v>1.70000004768372</v>
      </c>
      <c r="J427">
        <v>0</v>
      </c>
      <c r="K427">
        <v>0</v>
      </c>
      <c r="L427">
        <v>0</v>
      </c>
      <c r="M427">
        <v>112</v>
      </c>
      <c r="N427">
        <v>1328</v>
      </c>
      <c r="O427">
        <v>2360</v>
      </c>
    </row>
    <row r="428" spans="1:15" x14ac:dyDescent="0.35">
      <c r="A428">
        <v>8583815059</v>
      </c>
      <c r="B428" s="1">
        <v>42462</v>
      </c>
      <c r="C428">
        <v>3494</v>
      </c>
      <c r="D428">
        <v>2.7300000190734899</v>
      </c>
      <c r="E428">
        <v>2.7300000190734899</v>
      </c>
      <c r="F428">
        <v>0</v>
      </c>
      <c r="G428">
        <v>0</v>
      </c>
      <c r="H428">
        <v>0</v>
      </c>
      <c r="I428">
        <v>2.6900000572204599</v>
      </c>
      <c r="J428">
        <v>0</v>
      </c>
      <c r="K428">
        <v>0</v>
      </c>
      <c r="L428">
        <v>0</v>
      </c>
      <c r="M428">
        <v>166</v>
      </c>
      <c r="N428">
        <v>1274</v>
      </c>
      <c r="O428">
        <v>2517</v>
      </c>
    </row>
    <row r="429" spans="1:15" x14ac:dyDescent="0.35">
      <c r="A429">
        <v>8583815059</v>
      </c>
      <c r="B429" s="1">
        <v>42463</v>
      </c>
      <c r="C429">
        <v>2380</v>
      </c>
      <c r="D429">
        <v>1.8600000143051101</v>
      </c>
      <c r="E429">
        <v>1.8600000143051101</v>
      </c>
      <c r="F429">
        <v>0</v>
      </c>
      <c r="G429">
        <v>0</v>
      </c>
      <c r="H429">
        <v>0</v>
      </c>
      <c r="I429">
        <v>1.8600000143051101</v>
      </c>
      <c r="J429">
        <v>0</v>
      </c>
      <c r="K429">
        <v>0</v>
      </c>
      <c r="L429">
        <v>0</v>
      </c>
      <c r="M429">
        <v>131</v>
      </c>
      <c r="N429">
        <v>1309</v>
      </c>
      <c r="O429">
        <v>2400</v>
      </c>
    </row>
    <row r="430" spans="1:15" x14ac:dyDescent="0.35">
      <c r="A430">
        <v>8583815059</v>
      </c>
      <c r="B430" s="1">
        <v>42464</v>
      </c>
      <c r="C430">
        <v>3159</v>
      </c>
      <c r="D430">
        <v>2.46000003814697</v>
      </c>
      <c r="E430">
        <v>2.46000003814697</v>
      </c>
      <c r="F430">
        <v>0</v>
      </c>
      <c r="G430">
        <v>0</v>
      </c>
      <c r="H430">
        <v>0</v>
      </c>
      <c r="I430">
        <v>2.46000003814697</v>
      </c>
      <c r="J430">
        <v>0</v>
      </c>
      <c r="K430">
        <v>0</v>
      </c>
      <c r="L430">
        <v>0</v>
      </c>
      <c r="M430">
        <v>147</v>
      </c>
      <c r="N430">
        <v>1293</v>
      </c>
      <c r="O430">
        <v>2462</v>
      </c>
    </row>
    <row r="431" spans="1:15" x14ac:dyDescent="0.35">
      <c r="A431">
        <v>8583815059</v>
      </c>
      <c r="B431" s="1">
        <v>42465</v>
      </c>
      <c r="C431">
        <v>6835</v>
      </c>
      <c r="D431">
        <v>5.3299999237060502</v>
      </c>
      <c r="E431">
        <v>5.3299999237060502</v>
      </c>
      <c r="F431">
        <v>0</v>
      </c>
      <c r="G431">
        <v>0.37000000476837203</v>
      </c>
      <c r="H431">
        <v>0.730000019073486</v>
      </c>
      <c r="I431">
        <v>4.2399997711181596</v>
      </c>
      <c r="J431">
        <v>0</v>
      </c>
      <c r="K431">
        <v>5</v>
      </c>
      <c r="L431">
        <v>15</v>
      </c>
      <c r="M431">
        <v>212</v>
      </c>
      <c r="N431">
        <v>1208</v>
      </c>
      <c r="O431">
        <v>2786</v>
      </c>
    </row>
    <row r="432" spans="1:15" x14ac:dyDescent="0.35">
      <c r="A432">
        <v>8583815059</v>
      </c>
      <c r="B432" s="1">
        <v>42466</v>
      </c>
      <c r="C432">
        <v>2098</v>
      </c>
      <c r="D432">
        <v>1.6399999856948899</v>
      </c>
      <c r="E432">
        <v>1.6399999856948899</v>
      </c>
      <c r="F432">
        <v>0</v>
      </c>
      <c r="G432">
        <v>0</v>
      </c>
      <c r="H432">
        <v>0</v>
      </c>
      <c r="I432">
        <v>1.62999999523163</v>
      </c>
      <c r="J432">
        <v>0</v>
      </c>
      <c r="K432">
        <v>0</v>
      </c>
      <c r="L432">
        <v>0</v>
      </c>
      <c r="M432">
        <v>112</v>
      </c>
      <c r="N432">
        <v>1328</v>
      </c>
      <c r="O432">
        <v>2354</v>
      </c>
    </row>
    <row r="433" spans="1:15" x14ac:dyDescent="0.35">
      <c r="A433">
        <v>8583815059</v>
      </c>
      <c r="B433" s="1">
        <v>42467</v>
      </c>
      <c r="C433">
        <v>2816</v>
      </c>
      <c r="D433">
        <v>2.2000000476837198</v>
      </c>
      <c r="E433">
        <v>2.2000000476837198</v>
      </c>
      <c r="F433">
        <v>0</v>
      </c>
      <c r="G433">
        <v>0</v>
      </c>
      <c r="H433">
        <v>0</v>
      </c>
      <c r="I433">
        <v>2.2000000476837198</v>
      </c>
      <c r="J433">
        <v>0</v>
      </c>
      <c r="K433">
        <v>0</v>
      </c>
      <c r="L433">
        <v>0</v>
      </c>
      <c r="M433">
        <v>138</v>
      </c>
      <c r="N433">
        <v>1302</v>
      </c>
      <c r="O433">
        <v>2437</v>
      </c>
    </row>
    <row r="434" spans="1:15" x14ac:dyDescent="0.35">
      <c r="A434">
        <v>8583815059</v>
      </c>
      <c r="B434" s="1">
        <v>42468</v>
      </c>
      <c r="C434">
        <v>1408</v>
      </c>
      <c r="D434">
        <v>1.1000000238418599</v>
      </c>
      <c r="E434">
        <v>1.1000000238418599</v>
      </c>
      <c r="F434">
        <v>0</v>
      </c>
      <c r="G434">
        <v>0</v>
      </c>
      <c r="H434">
        <v>0</v>
      </c>
      <c r="I434">
        <v>1.1000000238418599</v>
      </c>
      <c r="J434">
        <v>0</v>
      </c>
      <c r="K434">
        <v>0</v>
      </c>
      <c r="L434">
        <v>0</v>
      </c>
      <c r="M434">
        <v>79</v>
      </c>
      <c r="N434">
        <v>1052</v>
      </c>
      <c r="O434">
        <v>1814</v>
      </c>
    </row>
    <row r="435" spans="1:15" x14ac:dyDescent="0.35">
      <c r="A435">
        <v>8792009665</v>
      </c>
      <c r="B435" s="1">
        <v>42461</v>
      </c>
      <c r="C435">
        <v>4592</v>
      </c>
      <c r="D435">
        <v>2.9400000572204599</v>
      </c>
      <c r="E435">
        <v>2.9400000572204599</v>
      </c>
      <c r="F435">
        <v>0</v>
      </c>
      <c r="G435">
        <v>0.10000000149011599</v>
      </c>
      <c r="H435">
        <v>0.140000000596046</v>
      </c>
      <c r="I435">
        <v>2.7000000476837198</v>
      </c>
      <c r="J435">
        <v>0</v>
      </c>
      <c r="K435">
        <v>4</v>
      </c>
      <c r="L435">
        <v>8</v>
      </c>
      <c r="M435">
        <v>176</v>
      </c>
      <c r="N435">
        <v>748</v>
      </c>
      <c r="O435">
        <v>2260</v>
      </c>
    </row>
    <row r="436" spans="1:15" x14ac:dyDescent="0.35">
      <c r="A436">
        <v>8792009665</v>
      </c>
      <c r="B436" s="1">
        <v>42462</v>
      </c>
      <c r="C436">
        <v>8452</v>
      </c>
      <c r="D436">
        <v>5.4099998474121103</v>
      </c>
      <c r="E436">
        <v>5.4099998474121103</v>
      </c>
      <c r="F436">
        <v>0</v>
      </c>
      <c r="G436">
        <v>0.259999990463257</v>
      </c>
      <c r="H436">
        <v>0.38999998569488498</v>
      </c>
      <c r="I436">
        <v>4.7600002288818404</v>
      </c>
      <c r="J436">
        <v>0</v>
      </c>
      <c r="K436">
        <v>9</v>
      </c>
      <c r="L436">
        <v>24</v>
      </c>
      <c r="M436">
        <v>328</v>
      </c>
      <c r="N436">
        <v>1079</v>
      </c>
      <c r="O436">
        <v>3004</v>
      </c>
    </row>
    <row r="437" spans="1:15" x14ac:dyDescent="0.35">
      <c r="A437">
        <v>8792009665</v>
      </c>
      <c r="B437" s="1">
        <v>42463</v>
      </c>
      <c r="C437">
        <v>7238</v>
      </c>
      <c r="D437">
        <v>4.6300001144409197</v>
      </c>
      <c r="E437">
        <v>4.6300001144409197</v>
      </c>
      <c r="F437">
        <v>0</v>
      </c>
      <c r="G437">
        <v>0.109999999403954</v>
      </c>
      <c r="H437">
        <v>0.230000004172325</v>
      </c>
      <c r="I437">
        <v>4.28999996185303</v>
      </c>
      <c r="J437">
        <v>0</v>
      </c>
      <c r="K437">
        <v>2</v>
      </c>
      <c r="L437">
        <v>6</v>
      </c>
      <c r="M437">
        <v>279</v>
      </c>
      <c r="N437">
        <v>636</v>
      </c>
      <c r="O437">
        <v>2667</v>
      </c>
    </row>
    <row r="438" spans="1:15" x14ac:dyDescent="0.35">
      <c r="A438">
        <v>8792009665</v>
      </c>
      <c r="B438" s="1">
        <v>42464</v>
      </c>
      <c r="C438">
        <v>3821</v>
      </c>
      <c r="D438">
        <v>2.4500000476837198</v>
      </c>
      <c r="E438">
        <v>2.4500000476837198</v>
      </c>
      <c r="F438">
        <v>0</v>
      </c>
      <c r="G438">
        <v>0</v>
      </c>
      <c r="H438">
        <v>0.21999999880790699</v>
      </c>
      <c r="I438">
        <v>2.2300000190734899</v>
      </c>
      <c r="J438">
        <v>0</v>
      </c>
      <c r="K438">
        <v>0</v>
      </c>
      <c r="L438">
        <v>9</v>
      </c>
      <c r="M438">
        <v>161</v>
      </c>
      <c r="N438">
        <v>675</v>
      </c>
      <c r="O438">
        <v>2229</v>
      </c>
    </row>
    <row r="439" spans="1:15" x14ac:dyDescent="0.35">
      <c r="A439">
        <v>8792009665</v>
      </c>
      <c r="B439" s="1">
        <v>42465</v>
      </c>
      <c r="C439">
        <v>2332</v>
      </c>
      <c r="D439">
        <v>1.4900000095367401</v>
      </c>
      <c r="E439">
        <v>1.4900000095367401</v>
      </c>
      <c r="F439">
        <v>0</v>
      </c>
      <c r="G439">
        <v>9.9999997764825804E-3</v>
      </c>
      <c r="H439">
        <v>0.18000000715255701</v>
      </c>
      <c r="I439">
        <v>1.29999995231628</v>
      </c>
      <c r="J439">
        <v>0</v>
      </c>
      <c r="K439">
        <v>1</v>
      </c>
      <c r="L439">
        <v>10</v>
      </c>
      <c r="M439">
        <v>111</v>
      </c>
      <c r="N439">
        <v>904</v>
      </c>
      <c r="O439">
        <v>2100</v>
      </c>
    </row>
    <row r="440" spans="1:15" x14ac:dyDescent="0.35">
      <c r="A440">
        <v>8792009665</v>
      </c>
      <c r="B440" s="1">
        <v>42466</v>
      </c>
      <c r="C440">
        <v>2121</v>
      </c>
      <c r="D440">
        <v>1.3600000143051101</v>
      </c>
      <c r="E440">
        <v>1.3600000143051101</v>
      </c>
      <c r="F440">
        <v>0</v>
      </c>
      <c r="G440">
        <v>0</v>
      </c>
      <c r="H440">
        <v>0</v>
      </c>
      <c r="I440">
        <v>1.3600000143051101</v>
      </c>
      <c r="J440">
        <v>0</v>
      </c>
      <c r="K440">
        <v>0</v>
      </c>
      <c r="L440">
        <v>0</v>
      </c>
      <c r="M440">
        <v>122</v>
      </c>
      <c r="N440">
        <v>855</v>
      </c>
      <c r="O440">
        <v>2114</v>
      </c>
    </row>
    <row r="441" spans="1:15" x14ac:dyDescent="0.35">
      <c r="A441">
        <v>8792009665</v>
      </c>
      <c r="B441" s="1">
        <v>42467</v>
      </c>
      <c r="C441">
        <v>1291</v>
      </c>
      <c r="D441">
        <v>0.82999998331069902</v>
      </c>
      <c r="E441">
        <v>0.82999998331069902</v>
      </c>
      <c r="F441">
        <v>0</v>
      </c>
      <c r="G441">
        <v>0</v>
      </c>
      <c r="H441">
        <v>0</v>
      </c>
      <c r="I441">
        <v>0.82999998331069902</v>
      </c>
      <c r="J441">
        <v>0</v>
      </c>
      <c r="K441">
        <v>0</v>
      </c>
      <c r="L441">
        <v>0</v>
      </c>
      <c r="M441">
        <v>77</v>
      </c>
      <c r="N441">
        <v>888</v>
      </c>
      <c r="O441">
        <v>1961</v>
      </c>
    </row>
    <row r="442" spans="1:15" x14ac:dyDescent="0.35">
      <c r="A442">
        <v>8792009665</v>
      </c>
      <c r="B442" s="1">
        <v>42468</v>
      </c>
      <c r="C442">
        <v>1467</v>
      </c>
      <c r="D442">
        <v>0.93999999761581399</v>
      </c>
      <c r="E442">
        <v>0.93999999761581399</v>
      </c>
      <c r="F442">
        <v>0</v>
      </c>
      <c r="G442">
        <v>0.10000000149011599</v>
      </c>
      <c r="H442">
        <v>0.20999999344348899</v>
      </c>
      <c r="I442">
        <v>0.62999999523162797</v>
      </c>
      <c r="J442">
        <v>0</v>
      </c>
      <c r="K442">
        <v>2</v>
      </c>
      <c r="L442">
        <v>8</v>
      </c>
      <c r="M442">
        <v>71</v>
      </c>
      <c r="N442">
        <v>912</v>
      </c>
      <c r="O442">
        <v>1953</v>
      </c>
    </row>
    <row r="443" spans="1:15" x14ac:dyDescent="0.35">
      <c r="A443">
        <v>8792009665</v>
      </c>
      <c r="B443" s="1">
        <v>42469</v>
      </c>
      <c r="C443">
        <v>1022</v>
      </c>
      <c r="D443">
        <v>0.64999997615814198</v>
      </c>
      <c r="E443">
        <v>0.64999997615814198</v>
      </c>
      <c r="F443">
        <v>0</v>
      </c>
      <c r="G443">
        <v>0</v>
      </c>
      <c r="H443">
        <v>0</v>
      </c>
      <c r="I443">
        <v>0.64999997615814198</v>
      </c>
      <c r="J443">
        <v>0</v>
      </c>
      <c r="K443">
        <v>0</v>
      </c>
      <c r="L443">
        <v>0</v>
      </c>
      <c r="M443">
        <v>63</v>
      </c>
      <c r="N443">
        <v>739</v>
      </c>
      <c r="O443">
        <v>1890</v>
      </c>
    </row>
    <row r="444" spans="1:15" x14ac:dyDescent="0.35">
      <c r="A444">
        <v>8792009665</v>
      </c>
      <c r="B444" s="1">
        <v>42470</v>
      </c>
      <c r="C444">
        <v>4605</v>
      </c>
      <c r="D444">
        <v>2.9500000476837198</v>
      </c>
      <c r="E444">
        <v>2.9500000476837198</v>
      </c>
      <c r="F444">
        <v>0</v>
      </c>
      <c r="G444">
        <v>0</v>
      </c>
      <c r="H444">
        <v>0</v>
      </c>
      <c r="I444">
        <v>2.9500000476837198</v>
      </c>
      <c r="J444">
        <v>0</v>
      </c>
      <c r="K444">
        <v>0</v>
      </c>
      <c r="L444">
        <v>0</v>
      </c>
      <c r="M444">
        <v>179</v>
      </c>
      <c r="N444">
        <v>1261</v>
      </c>
      <c r="O444">
        <v>2253</v>
      </c>
    </row>
    <row r="445" spans="1:15" x14ac:dyDescent="0.35">
      <c r="A445">
        <v>8792009665</v>
      </c>
      <c r="B445" s="1">
        <v>42471</v>
      </c>
      <c r="C445">
        <v>178</v>
      </c>
      <c r="D445">
        <v>0.109999999403954</v>
      </c>
      <c r="E445">
        <v>0.109999999403954</v>
      </c>
      <c r="F445">
        <v>0</v>
      </c>
      <c r="G445">
        <v>0</v>
      </c>
      <c r="H445">
        <v>0</v>
      </c>
      <c r="I445">
        <v>0.109999999403954</v>
      </c>
      <c r="J445">
        <v>0</v>
      </c>
      <c r="K445">
        <v>0</v>
      </c>
      <c r="L445">
        <v>0</v>
      </c>
      <c r="M445">
        <v>12</v>
      </c>
      <c r="N445">
        <v>1428</v>
      </c>
      <c r="O445">
        <v>1725</v>
      </c>
    </row>
    <row r="446" spans="1:15" x14ac:dyDescent="0.35">
      <c r="A446">
        <v>8792009665</v>
      </c>
      <c r="B446" s="1">
        <v>42472</v>
      </c>
      <c r="C446">
        <v>20</v>
      </c>
      <c r="D446">
        <v>9.9999997764825804E-3</v>
      </c>
      <c r="E446">
        <v>9.9999997764825804E-3</v>
      </c>
      <c r="F446">
        <v>0</v>
      </c>
      <c r="G446">
        <v>0</v>
      </c>
      <c r="H446">
        <v>0</v>
      </c>
      <c r="I446">
        <v>9.9999997764825804E-3</v>
      </c>
      <c r="J446">
        <v>0</v>
      </c>
      <c r="K446">
        <v>0</v>
      </c>
      <c r="L446">
        <v>0</v>
      </c>
      <c r="M446">
        <v>6</v>
      </c>
      <c r="N446">
        <v>598</v>
      </c>
      <c r="O446">
        <v>728</v>
      </c>
    </row>
    <row r="447" spans="1:15" x14ac:dyDescent="0.35">
      <c r="A447">
        <v>8877689391</v>
      </c>
      <c r="B447" s="1">
        <v>42461</v>
      </c>
      <c r="C447">
        <v>18700</v>
      </c>
      <c r="D447">
        <v>15.819999694824199</v>
      </c>
      <c r="E447">
        <v>15.819999694824199</v>
      </c>
      <c r="F447">
        <v>0</v>
      </c>
      <c r="G447">
        <v>8.6999998092651403</v>
      </c>
      <c r="H447">
        <v>0.15999999642372101</v>
      </c>
      <c r="I447">
        <v>6.9099998474121103</v>
      </c>
      <c r="J447">
        <v>0</v>
      </c>
      <c r="K447">
        <v>67</v>
      </c>
      <c r="L447">
        <v>3</v>
      </c>
      <c r="M447">
        <v>247</v>
      </c>
      <c r="N447">
        <v>1123</v>
      </c>
      <c r="O447">
        <v>3527</v>
      </c>
    </row>
    <row r="448" spans="1:15" x14ac:dyDescent="0.35">
      <c r="A448">
        <v>8877689391</v>
      </c>
      <c r="B448" s="1">
        <v>42462</v>
      </c>
      <c r="C448">
        <v>27572</v>
      </c>
      <c r="D448">
        <v>23.389999389648398</v>
      </c>
      <c r="E448">
        <v>23.389999389648398</v>
      </c>
      <c r="F448">
        <v>0</v>
      </c>
      <c r="G448">
        <v>14.7200002670288</v>
      </c>
      <c r="H448">
        <v>1.21000003814697</v>
      </c>
      <c r="I448">
        <v>7.3400001525878897</v>
      </c>
      <c r="J448">
        <v>9.9999997764825804E-3</v>
      </c>
      <c r="K448">
        <v>116</v>
      </c>
      <c r="L448">
        <v>24</v>
      </c>
      <c r="M448">
        <v>260</v>
      </c>
      <c r="N448">
        <v>1040</v>
      </c>
      <c r="O448">
        <v>4220</v>
      </c>
    </row>
    <row r="449" spans="1:15" x14ac:dyDescent="0.35">
      <c r="A449">
        <v>8877689391</v>
      </c>
      <c r="B449" s="1">
        <v>42463</v>
      </c>
      <c r="C449">
        <v>15260</v>
      </c>
      <c r="D449">
        <v>8.1899995803833008</v>
      </c>
      <c r="E449">
        <v>8.1899995803833008</v>
      </c>
      <c r="F449">
        <v>0</v>
      </c>
      <c r="G449">
        <v>1.79999995231628</v>
      </c>
      <c r="H449">
        <v>0.75</v>
      </c>
      <c r="I449">
        <v>5.5700001716613796</v>
      </c>
      <c r="J449">
        <v>0</v>
      </c>
      <c r="K449">
        <v>106</v>
      </c>
      <c r="L449">
        <v>17</v>
      </c>
      <c r="M449">
        <v>259</v>
      </c>
      <c r="N449">
        <v>1058</v>
      </c>
      <c r="O449">
        <v>3864</v>
      </c>
    </row>
    <row r="450" spans="1:15" x14ac:dyDescent="0.35">
      <c r="A450">
        <v>8877689391</v>
      </c>
      <c r="B450" s="1">
        <v>42464</v>
      </c>
      <c r="C450">
        <v>20779</v>
      </c>
      <c r="D450">
        <v>18.409999847412099</v>
      </c>
      <c r="E450">
        <v>18.409999847412099</v>
      </c>
      <c r="F450">
        <v>0</v>
      </c>
      <c r="G450">
        <v>11.7299995422363</v>
      </c>
      <c r="H450">
        <v>0.64999997615814198</v>
      </c>
      <c r="I450">
        <v>6</v>
      </c>
      <c r="J450">
        <v>0</v>
      </c>
      <c r="K450">
        <v>78</v>
      </c>
      <c r="L450">
        <v>16</v>
      </c>
      <c r="M450">
        <v>208</v>
      </c>
      <c r="N450">
        <v>1138</v>
      </c>
      <c r="O450">
        <v>3662</v>
      </c>
    </row>
    <row r="451" spans="1:15" x14ac:dyDescent="0.35">
      <c r="A451">
        <v>8877689391</v>
      </c>
      <c r="B451" s="1">
        <v>42465</v>
      </c>
      <c r="C451">
        <v>10695</v>
      </c>
      <c r="D451">
        <v>8.1199998855590803</v>
      </c>
      <c r="E451">
        <v>8.1199998855590803</v>
      </c>
      <c r="F451">
        <v>0</v>
      </c>
      <c r="G451">
        <v>0.769999980926514</v>
      </c>
      <c r="H451">
        <v>0.18000000715255701</v>
      </c>
      <c r="I451">
        <v>7.0900001525878897</v>
      </c>
      <c r="J451">
        <v>9.9999997764825804E-3</v>
      </c>
      <c r="K451">
        <v>10</v>
      </c>
      <c r="L451">
        <v>3</v>
      </c>
      <c r="M451">
        <v>246</v>
      </c>
      <c r="N451">
        <v>1181</v>
      </c>
      <c r="O451">
        <v>2834</v>
      </c>
    </row>
    <row r="452" spans="1:15" x14ac:dyDescent="0.35">
      <c r="A452">
        <v>8877689391</v>
      </c>
      <c r="B452" s="1">
        <v>42466</v>
      </c>
      <c r="C452">
        <v>24136</v>
      </c>
      <c r="D452">
        <v>20.909999847412099</v>
      </c>
      <c r="E452">
        <v>20.909999847412099</v>
      </c>
      <c r="F452">
        <v>0</v>
      </c>
      <c r="G452">
        <v>12.2200002670288</v>
      </c>
      <c r="H452">
        <v>0.54000002145767201</v>
      </c>
      <c r="I452">
        <v>8.0799999237060494</v>
      </c>
      <c r="J452">
        <v>0</v>
      </c>
      <c r="K452">
        <v>87</v>
      </c>
      <c r="L452">
        <v>16</v>
      </c>
      <c r="M452">
        <v>318</v>
      </c>
      <c r="N452">
        <v>1019</v>
      </c>
      <c r="O452">
        <v>4039</v>
      </c>
    </row>
    <row r="453" spans="1:15" x14ac:dyDescent="0.35">
      <c r="A453">
        <v>8877689391</v>
      </c>
      <c r="B453" s="1">
        <v>42467</v>
      </c>
      <c r="C453">
        <v>10910</v>
      </c>
      <c r="D453">
        <v>8.4200000762939506</v>
      </c>
      <c r="E453">
        <v>8.4200000762939506</v>
      </c>
      <c r="F453">
        <v>0</v>
      </c>
      <c r="G453">
        <v>2.96000003814697</v>
      </c>
      <c r="H453">
        <v>0.38999998569488498</v>
      </c>
      <c r="I453">
        <v>5.0300002098083496</v>
      </c>
      <c r="J453">
        <v>0</v>
      </c>
      <c r="K453">
        <v>32</v>
      </c>
      <c r="L453">
        <v>11</v>
      </c>
      <c r="M453">
        <v>212</v>
      </c>
      <c r="N453">
        <v>1185</v>
      </c>
      <c r="O453">
        <v>2947</v>
      </c>
    </row>
    <row r="454" spans="1:15" x14ac:dyDescent="0.35">
      <c r="A454">
        <v>8877689391</v>
      </c>
      <c r="B454" s="1">
        <v>42468</v>
      </c>
      <c r="C454">
        <v>23014</v>
      </c>
      <c r="D454">
        <v>20.389999389648398</v>
      </c>
      <c r="E454">
        <v>20.389999389648398</v>
      </c>
      <c r="F454">
        <v>0</v>
      </c>
      <c r="G454">
        <v>11.1000003814697</v>
      </c>
      <c r="H454">
        <v>0.62999999523162797</v>
      </c>
      <c r="I454">
        <v>8.6199998855590803</v>
      </c>
      <c r="J454">
        <v>0</v>
      </c>
      <c r="K454">
        <v>70</v>
      </c>
      <c r="L454">
        <v>29</v>
      </c>
      <c r="M454">
        <v>359</v>
      </c>
      <c r="N454">
        <v>982</v>
      </c>
      <c r="O454">
        <v>4196</v>
      </c>
    </row>
    <row r="455" spans="1:15" x14ac:dyDescent="0.35">
      <c r="A455">
        <v>8877689391</v>
      </c>
      <c r="B455" s="1">
        <v>42469</v>
      </c>
      <c r="C455">
        <v>16470</v>
      </c>
      <c r="D455">
        <v>8.0699996948242205</v>
      </c>
      <c r="E455">
        <v>8.0699996948242205</v>
      </c>
      <c r="F455">
        <v>0</v>
      </c>
      <c r="G455">
        <v>0</v>
      </c>
      <c r="H455">
        <v>1.9999999552965199E-2</v>
      </c>
      <c r="I455">
        <v>8.0200004577636701</v>
      </c>
      <c r="J455">
        <v>0</v>
      </c>
      <c r="K455">
        <v>90</v>
      </c>
      <c r="L455">
        <v>9</v>
      </c>
      <c r="M455">
        <v>289</v>
      </c>
      <c r="N455">
        <v>1052</v>
      </c>
      <c r="O455">
        <v>3841</v>
      </c>
    </row>
    <row r="456" spans="1:15" x14ac:dyDescent="0.35">
      <c r="A456">
        <v>8877689391</v>
      </c>
      <c r="B456" s="1">
        <v>42470</v>
      </c>
      <c r="C456">
        <v>28497</v>
      </c>
      <c r="D456">
        <v>27.530000686645501</v>
      </c>
      <c r="E456">
        <v>27.530000686645501</v>
      </c>
      <c r="F456">
        <v>0</v>
      </c>
      <c r="G456">
        <v>21.920000076293899</v>
      </c>
      <c r="H456">
        <v>1.12000000476837</v>
      </c>
      <c r="I456">
        <v>4.46000003814697</v>
      </c>
      <c r="J456">
        <v>0</v>
      </c>
      <c r="K456">
        <v>128</v>
      </c>
      <c r="L456">
        <v>46</v>
      </c>
      <c r="M456">
        <v>211</v>
      </c>
      <c r="N456">
        <v>1055</v>
      </c>
      <c r="O456">
        <v>4526</v>
      </c>
    </row>
    <row r="457" spans="1:15" x14ac:dyDescent="0.35">
      <c r="A457">
        <v>8877689391</v>
      </c>
      <c r="B457" s="1">
        <v>42471</v>
      </c>
      <c r="C457">
        <v>10622</v>
      </c>
      <c r="D457">
        <v>8.0600004196166992</v>
      </c>
      <c r="E457">
        <v>8.0600004196166992</v>
      </c>
      <c r="F457">
        <v>0</v>
      </c>
      <c r="G457">
        <v>1.4700000286102299</v>
      </c>
      <c r="H457">
        <v>0.15000000596046401</v>
      </c>
      <c r="I457">
        <v>6.3699998855590803</v>
      </c>
      <c r="J457">
        <v>9.9999997764825804E-3</v>
      </c>
      <c r="K457">
        <v>18</v>
      </c>
      <c r="L457">
        <v>7</v>
      </c>
      <c r="M457">
        <v>225</v>
      </c>
      <c r="N457">
        <v>1190</v>
      </c>
      <c r="O457">
        <v>2820</v>
      </c>
    </row>
    <row r="458" spans="1:15" x14ac:dyDescent="0.35">
      <c r="A458">
        <v>8877689391</v>
      </c>
      <c r="B458" s="1">
        <v>42472</v>
      </c>
      <c r="C458">
        <v>2350</v>
      </c>
      <c r="D458">
        <v>1.7799999713897701</v>
      </c>
      <c r="E458">
        <v>1.7799999713897701</v>
      </c>
      <c r="F458">
        <v>0</v>
      </c>
      <c r="G458">
        <v>0</v>
      </c>
      <c r="H458">
        <v>0</v>
      </c>
      <c r="I458">
        <v>1.7799999713897701</v>
      </c>
      <c r="J458">
        <v>0</v>
      </c>
      <c r="K458">
        <v>0</v>
      </c>
      <c r="L458">
        <v>0</v>
      </c>
      <c r="M458">
        <v>58</v>
      </c>
      <c r="N458">
        <v>531</v>
      </c>
      <c r="O458">
        <v>938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A8F4-3E91-499F-8D8D-C0AB91043B9C}">
  <dimension ref="A1:P458"/>
  <sheetViews>
    <sheetView topLeftCell="H1" zoomScale="79" zoomScaleNormal="35" workbookViewId="0">
      <selection activeCell="R2" sqref="R2:R7"/>
    </sheetView>
  </sheetViews>
  <sheetFormatPr defaultRowHeight="13.5" x14ac:dyDescent="0.35"/>
  <cols>
    <col min="1" max="1" width="10.6875" bestFit="1" customWidth="1"/>
    <col min="2" max="2" width="10.125" bestFit="1" customWidth="1"/>
    <col min="3" max="3" width="9.4375" bestFit="1" customWidth="1"/>
    <col min="4" max="4" width="11.9375" bestFit="1" customWidth="1"/>
    <col min="5" max="5" width="14.125" bestFit="1" customWidth="1"/>
    <col min="6" max="6" width="21.1875" bestFit="1" customWidth="1"/>
    <col min="7" max="7" width="16.375" bestFit="1" customWidth="1"/>
    <col min="8" max="8" width="21.6875" bestFit="1" customWidth="1"/>
    <col min="9" max="9" width="16.6875" bestFit="1" customWidth="1"/>
    <col min="10" max="10" width="21" bestFit="1" customWidth="1"/>
    <col min="11" max="11" width="15.5625" bestFit="1" customWidth="1"/>
    <col min="12" max="12" width="16.375" bestFit="1" customWidth="1"/>
    <col min="13" max="13" width="17.1875" bestFit="1" customWidth="1"/>
    <col min="14" max="14" width="15.1875" bestFit="1" customWidth="1"/>
    <col min="16" max="16" width="10.8125" bestFit="1" customWidth="1"/>
    <col min="17" max="17" width="10.937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v>1503960366</v>
      </c>
      <c r="B2" s="1">
        <v>42454</v>
      </c>
      <c r="C2">
        <v>11004</v>
      </c>
      <c r="D2">
        <v>7.1100001335143999</v>
      </c>
      <c r="E2">
        <v>7.1100001335143999</v>
      </c>
      <c r="F2">
        <v>0</v>
      </c>
      <c r="G2">
        <v>2.5699999332428001</v>
      </c>
      <c r="H2">
        <v>0.46000000834464999</v>
      </c>
      <c r="I2">
        <v>4.0700001716613796</v>
      </c>
      <c r="J2">
        <v>0</v>
      </c>
      <c r="K2">
        <v>33</v>
      </c>
      <c r="L2">
        <v>12</v>
      </c>
      <c r="M2">
        <v>205</v>
      </c>
      <c r="N2">
        <v>804</v>
      </c>
      <c r="O2">
        <v>1819</v>
      </c>
      <c r="P2" s="3" cm="1">
        <f t="array" ref="P2">_xlfn.XLOOKUP(A2&amp;B2,'[1]Daily Sleep'!$A$2:$A$468&amp;'[1]Daily Sleep'!$B$2:$B$468,'[1]Daily Sleep'!$D$2:$D$468,"")</f>
        <v>5.85</v>
      </c>
    </row>
    <row r="3" spans="1:16" x14ac:dyDescent="0.35">
      <c r="A3">
        <v>1503960366</v>
      </c>
      <c r="B3" s="1">
        <v>42455</v>
      </c>
      <c r="C3">
        <v>17609</v>
      </c>
      <c r="D3">
        <v>11.550000190734901</v>
      </c>
      <c r="E3">
        <v>11.550000190734901</v>
      </c>
      <c r="F3">
        <v>0</v>
      </c>
      <c r="G3">
        <v>6.9200000762939498</v>
      </c>
      <c r="H3">
        <v>0.730000019073486</v>
      </c>
      <c r="I3">
        <v>3.9100000858306898</v>
      </c>
      <c r="J3">
        <v>0</v>
      </c>
      <c r="K3">
        <v>89</v>
      </c>
      <c r="L3">
        <v>17</v>
      </c>
      <c r="M3">
        <v>274</v>
      </c>
      <c r="N3">
        <v>588</v>
      </c>
      <c r="O3">
        <v>2154</v>
      </c>
      <c r="P3" s="3" cm="1">
        <f t="array" ref="P3">_xlfn.XLOOKUP(A3&amp;B3,'[1]Daily Sleep'!$A$2:$A$468&amp;'[1]Daily Sleep'!$B$2:$B$468,'[1]Daily Sleep'!$D$2:$D$468,"")</f>
        <v>7.2833333333333332</v>
      </c>
    </row>
    <row r="4" spans="1:16" x14ac:dyDescent="0.35">
      <c r="A4">
        <v>1503960366</v>
      </c>
      <c r="B4" s="1">
        <v>42456</v>
      </c>
      <c r="C4">
        <v>12736</v>
      </c>
      <c r="D4">
        <v>8.5299997329711896</v>
      </c>
      <c r="E4">
        <v>8.5299997329711896</v>
      </c>
      <c r="F4">
        <v>0</v>
      </c>
      <c r="G4">
        <v>4.6599998474121103</v>
      </c>
      <c r="H4">
        <v>0.15999999642372101</v>
      </c>
      <c r="I4">
        <v>3.71000003814697</v>
      </c>
      <c r="J4">
        <v>0</v>
      </c>
      <c r="K4">
        <v>56</v>
      </c>
      <c r="L4">
        <v>5</v>
      </c>
      <c r="M4">
        <v>268</v>
      </c>
      <c r="N4">
        <v>605</v>
      </c>
      <c r="O4">
        <v>1944</v>
      </c>
      <c r="P4" s="3" cm="1">
        <f t="array" ref="P4">_xlfn.XLOOKUP(A4&amp;B4,'[1]Daily Sleep'!$A$2:$A$468&amp;'[1]Daily Sleep'!$B$2:$B$468,'[1]Daily Sleep'!$D$2:$D$468,"")</f>
        <v>8.0500000000000007</v>
      </c>
    </row>
    <row r="5" spans="1:16" x14ac:dyDescent="0.35">
      <c r="A5">
        <v>1503960366</v>
      </c>
      <c r="B5" s="1">
        <v>42457</v>
      </c>
      <c r="C5">
        <v>13231</v>
      </c>
      <c r="D5">
        <v>8.9300003051757795</v>
      </c>
      <c r="E5">
        <v>8.9300003051757795</v>
      </c>
      <c r="F5">
        <v>0</v>
      </c>
      <c r="G5">
        <v>3.1900000572204599</v>
      </c>
      <c r="H5">
        <v>0.79000002145767201</v>
      </c>
      <c r="I5">
        <v>4.9499998092651403</v>
      </c>
      <c r="J5">
        <v>0</v>
      </c>
      <c r="K5">
        <v>39</v>
      </c>
      <c r="L5">
        <v>20</v>
      </c>
      <c r="M5">
        <v>224</v>
      </c>
      <c r="N5">
        <v>1080</v>
      </c>
      <c r="O5">
        <v>1932</v>
      </c>
      <c r="P5" s="3" cm="1">
        <f t="array" ref="P5">_xlfn.XLOOKUP(A5&amp;B5,'[1]Daily Sleep'!$A$2:$A$468&amp;'[1]Daily Sleep'!$B$2:$B$468,'[1]Daily Sleep'!$D$2:$D$468,"")</f>
        <v>1.2166666666666666</v>
      </c>
    </row>
    <row r="6" spans="1:16" x14ac:dyDescent="0.35">
      <c r="A6">
        <v>1503960366</v>
      </c>
      <c r="B6" s="1">
        <v>42458</v>
      </c>
      <c r="C6">
        <v>12041</v>
      </c>
      <c r="D6">
        <v>7.8499999046325701</v>
      </c>
      <c r="E6">
        <v>7.8499999046325701</v>
      </c>
      <c r="F6">
        <v>0</v>
      </c>
      <c r="G6">
        <v>2.1600000858306898</v>
      </c>
      <c r="H6">
        <v>1.0900000333786</v>
      </c>
      <c r="I6">
        <v>4.6100001335143999</v>
      </c>
      <c r="J6">
        <v>0</v>
      </c>
      <c r="K6">
        <v>28</v>
      </c>
      <c r="L6">
        <v>28</v>
      </c>
      <c r="M6">
        <v>243</v>
      </c>
      <c r="N6">
        <v>763</v>
      </c>
      <c r="O6">
        <v>1886</v>
      </c>
      <c r="P6" s="3" cm="1">
        <f t="array" ref="P6">_xlfn.XLOOKUP(A6&amp;B6,'[1]Daily Sleep'!$A$2:$A$468&amp;'[1]Daily Sleep'!$B$2:$B$468,'[1]Daily Sleep'!$D$2:$D$468,"")</f>
        <v>5.8166666666666664</v>
      </c>
    </row>
    <row r="7" spans="1:16" x14ac:dyDescent="0.35">
      <c r="A7">
        <v>1503960366</v>
      </c>
      <c r="B7" s="1">
        <v>42459</v>
      </c>
      <c r="C7">
        <v>10970</v>
      </c>
      <c r="D7">
        <v>7.1599998474121103</v>
      </c>
      <c r="E7">
        <v>7.1599998474121103</v>
      </c>
      <c r="F7">
        <v>0</v>
      </c>
      <c r="G7">
        <v>2.3599998950958301</v>
      </c>
      <c r="H7">
        <v>0.50999999046325695</v>
      </c>
      <c r="I7">
        <v>4.28999996185303</v>
      </c>
      <c r="J7">
        <v>0</v>
      </c>
      <c r="K7">
        <v>30</v>
      </c>
      <c r="L7">
        <v>13</v>
      </c>
      <c r="M7">
        <v>223</v>
      </c>
      <c r="N7">
        <v>1174</v>
      </c>
      <c r="O7">
        <v>1820</v>
      </c>
      <c r="P7" s="3" t="str" cm="1">
        <f t="array" ref="P7">_xlfn.XLOOKUP(A7&amp;B7,'[1]Daily Sleep'!$A$2:$A$468&amp;'[1]Daily Sleep'!$B$2:$B$468,'[1]Daily Sleep'!$D$2:$D$468,"")</f>
        <v/>
      </c>
    </row>
    <row r="8" spans="1:16" x14ac:dyDescent="0.35">
      <c r="A8">
        <v>1503960366</v>
      </c>
      <c r="B8" s="1">
        <v>42460</v>
      </c>
      <c r="C8">
        <v>12256</v>
      </c>
      <c r="D8">
        <v>7.8600001335143999</v>
      </c>
      <c r="E8">
        <v>7.8600001335143999</v>
      </c>
      <c r="F8">
        <v>0</v>
      </c>
      <c r="G8">
        <v>2.28999996185303</v>
      </c>
      <c r="H8">
        <v>0.490000009536743</v>
      </c>
      <c r="I8">
        <v>5.03999996185303</v>
      </c>
      <c r="J8">
        <v>0</v>
      </c>
      <c r="K8">
        <v>33</v>
      </c>
      <c r="L8">
        <v>12</v>
      </c>
      <c r="M8">
        <v>239</v>
      </c>
      <c r="N8">
        <v>820</v>
      </c>
      <c r="O8">
        <v>1889</v>
      </c>
      <c r="P8" s="3" cm="1">
        <f t="array" ref="P8">_xlfn.XLOOKUP(A8&amp;B8,'[1]Daily Sleep'!$A$2:$A$468&amp;'[1]Daily Sleep'!$B$2:$B$468,'[1]Daily Sleep'!$D$2:$D$468,"")</f>
        <v>5.1333333333333337</v>
      </c>
    </row>
    <row r="9" spans="1:16" x14ac:dyDescent="0.35">
      <c r="A9">
        <v>1503960366</v>
      </c>
      <c r="B9" s="1">
        <v>42461</v>
      </c>
      <c r="C9">
        <v>12262</v>
      </c>
      <c r="D9">
        <v>7.8699998855590803</v>
      </c>
      <c r="E9">
        <v>7.8699998855590803</v>
      </c>
      <c r="F9">
        <v>0</v>
      </c>
      <c r="G9">
        <v>3.3199999332428001</v>
      </c>
      <c r="H9">
        <v>0.82999998331069902</v>
      </c>
      <c r="I9">
        <v>3.6400001049041699</v>
      </c>
      <c r="J9">
        <v>0</v>
      </c>
      <c r="K9">
        <v>47</v>
      </c>
      <c r="L9">
        <v>21</v>
      </c>
      <c r="M9">
        <v>200</v>
      </c>
      <c r="N9">
        <v>866</v>
      </c>
      <c r="O9">
        <v>1868</v>
      </c>
      <c r="P9" s="3" cm="1">
        <f t="array" ref="P9">_xlfn.XLOOKUP(A9&amp;B9,'[1]Daily Sleep'!$A$2:$A$468&amp;'[1]Daily Sleep'!$B$2:$B$468,'[1]Daily Sleep'!$D$2:$D$468,"")</f>
        <v>4.7166666666666668</v>
      </c>
    </row>
    <row r="10" spans="1:16" x14ac:dyDescent="0.35">
      <c r="A10">
        <v>1503960366</v>
      </c>
      <c r="B10" s="1">
        <v>42462</v>
      </c>
      <c r="C10">
        <v>11248</v>
      </c>
      <c r="D10">
        <v>7.25</v>
      </c>
      <c r="E10">
        <v>7.25</v>
      </c>
      <c r="F10">
        <v>0</v>
      </c>
      <c r="G10">
        <v>3</v>
      </c>
      <c r="H10">
        <v>0.44999998807907099</v>
      </c>
      <c r="I10">
        <v>3.7400000095367401</v>
      </c>
      <c r="J10">
        <v>0</v>
      </c>
      <c r="K10">
        <v>40</v>
      </c>
      <c r="L10">
        <v>11</v>
      </c>
      <c r="M10">
        <v>244</v>
      </c>
      <c r="N10">
        <v>636</v>
      </c>
      <c r="O10">
        <v>1843</v>
      </c>
      <c r="P10" s="3" cm="1">
        <f t="array" ref="P10">_xlfn.XLOOKUP(A10&amp;B10,'[1]Daily Sleep'!$A$2:$A$468&amp;'[1]Daily Sleep'!$B$2:$B$468,'[1]Daily Sleep'!$D$2:$D$468,"")</f>
        <v>7.3166666666666664</v>
      </c>
    </row>
    <row r="11" spans="1:16" x14ac:dyDescent="0.35">
      <c r="A11">
        <v>1503960366</v>
      </c>
      <c r="B11" s="1">
        <v>42463</v>
      </c>
      <c r="C11">
        <v>10016</v>
      </c>
      <c r="D11">
        <v>6.3699998855590803</v>
      </c>
      <c r="E11">
        <v>6.3699998855590803</v>
      </c>
      <c r="F11">
        <v>0</v>
      </c>
      <c r="G11">
        <v>0.91000002622604403</v>
      </c>
      <c r="H11">
        <v>1.2799999713897701</v>
      </c>
      <c r="I11">
        <v>4.1799998283386204</v>
      </c>
      <c r="J11">
        <v>0</v>
      </c>
      <c r="K11">
        <v>15</v>
      </c>
      <c r="L11">
        <v>30</v>
      </c>
      <c r="M11">
        <v>314</v>
      </c>
      <c r="N11">
        <v>655</v>
      </c>
      <c r="O11">
        <v>1850</v>
      </c>
      <c r="P11" s="3" cm="1">
        <f t="array" ref="P11">_xlfn.XLOOKUP(A11&amp;B11,'[1]Daily Sleep'!$A$2:$A$468&amp;'[1]Daily Sleep'!$B$2:$B$468,'[1]Daily Sleep'!$D$2:$D$468,"")</f>
        <v>6.3166666666666664</v>
      </c>
    </row>
    <row r="12" spans="1:16" x14ac:dyDescent="0.35">
      <c r="A12">
        <v>1503960366</v>
      </c>
      <c r="B12" s="1">
        <v>42464</v>
      </c>
      <c r="C12">
        <v>14557</v>
      </c>
      <c r="D12">
        <v>9.8000001907348597</v>
      </c>
      <c r="E12">
        <v>9.8000001907348597</v>
      </c>
      <c r="F12">
        <v>0</v>
      </c>
      <c r="G12">
        <v>3.3900001049041699</v>
      </c>
      <c r="H12">
        <v>0.69999998807907104</v>
      </c>
      <c r="I12">
        <v>5.6900000572204599</v>
      </c>
      <c r="J12">
        <v>0</v>
      </c>
      <c r="K12">
        <v>43</v>
      </c>
      <c r="L12">
        <v>18</v>
      </c>
      <c r="M12">
        <v>285</v>
      </c>
      <c r="N12">
        <v>757</v>
      </c>
      <c r="O12">
        <v>2030</v>
      </c>
      <c r="P12" s="3" cm="1">
        <f t="array" ref="P12">_xlfn.XLOOKUP(A12&amp;B12,'[1]Daily Sleep'!$A$2:$A$468&amp;'[1]Daily Sleep'!$B$2:$B$468,'[1]Daily Sleep'!$D$2:$D$468,"")</f>
        <v>4.9000000000000004</v>
      </c>
    </row>
    <row r="13" spans="1:16" x14ac:dyDescent="0.35">
      <c r="A13">
        <v>1503960366</v>
      </c>
      <c r="B13" s="1">
        <v>42465</v>
      </c>
      <c r="C13">
        <v>14844</v>
      </c>
      <c r="D13">
        <v>9.7299995422363299</v>
      </c>
      <c r="E13">
        <v>9.7299995422363299</v>
      </c>
      <c r="F13">
        <v>0</v>
      </c>
      <c r="G13">
        <v>2.9400000572204599</v>
      </c>
      <c r="H13">
        <v>0.75999999046325695</v>
      </c>
      <c r="I13">
        <v>6.03999996185303</v>
      </c>
      <c r="J13">
        <v>0</v>
      </c>
      <c r="K13">
        <v>36</v>
      </c>
      <c r="L13">
        <v>18</v>
      </c>
      <c r="M13">
        <v>341</v>
      </c>
      <c r="N13">
        <v>736</v>
      </c>
      <c r="O13">
        <v>2083</v>
      </c>
      <c r="P13" s="3" cm="1">
        <f t="array" ref="P13">_xlfn.XLOOKUP(A13&amp;B13,'[1]Daily Sleep'!$A$2:$A$468&amp;'[1]Daily Sleep'!$B$2:$B$468,'[1]Daily Sleep'!$D$2:$D$468,"")</f>
        <v>4.666666666666667</v>
      </c>
    </row>
    <row r="14" spans="1:16" x14ac:dyDescent="0.35">
      <c r="A14">
        <v>1503960366</v>
      </c>
      <c r="B14" s="1">
        <v>42466</v>
      </c>
      <c r="C14">
        <v>11974</v>
      </c>
      <c r="D14">
        <v>7.6700000762939498</v>
      </c>
      <c r="E14">
        <v>7.6700000762939498</v>
      </c>
      <c r="F14">
        <v>0</v>
      </c>
      <c r="G14">
        <v>2.03999996185303</v>
      </c>
      <c r="H14">
        <v>0.479999989271164</v>
      </c>
      <c r="I14">
        <v>5.1500000953674299</v>
      </c>
      <c r="J14">
        <v>0</v>
      </c>
      <c r="K14">
        <v>27</v>
      </c>
      <c r="L14">
        <v>12</v>
      </c>
      <c r="M14">
        <v>228</v>
      </c>
      <c r="N14">
        <v>1173</v>
      </c>
      <c r="O14">
        <v>1861</v>
      </c>
      <c r="P14" s="3" t="str" cm="1">
        <f t="array" ref="P14">_xlfn.XLOOKUP(A14&amp;B14,'[1]Daily Sleep'!$A$2:$A$468&amp;'[1]Daily Sleep'!$B$2:$B$468,'[1]Daily Sleep'!$D$2:$D$468,"")</f>
        <v/>
      </c>
    </row>
    <row r="15" spans="1:16" x14ac:dyDescent="0.35">
      <c r="A15">
        <v>1503960366</v>
      </c>
      <c r="B15" s="1">
        <v>42467</v>
      </c>
      <c r="C15">
        <v>10198</v>
      </c>
      <c r="D15">
        <v>6.4400000572204599</v>
      </c>
      <c r="E15">
        <v>6.4400000572204599</v>
      </c>
      <c r="F15">
        <v>0</v>
      </c>
      <c r="G15">
        <v>1.20000004768372</v>
      </c>
      <c r="H15">
        <v>0.79000002145767201</v>
      </c>
      <c r="I15">
        <v>4.4499998092651403</v>
      </c>
      <c r="J15">
        <v>0</v>
      </c>
      <c r="K15">
        <v>17</v>
      </c>
      <c r="L15">
        <v>20</v>
      </c>
      <c r="M15">
        <v>195</v>
      </c>
      <c r="N15">
        <v>1208</v>
      </c>
      <c r="O15">
        <v>1755</v>
      </c>
      <c r="P15" s="3" t="str" cm="1">
        <f t="array" ref="P15">_xlfn.XLOOKUP(A15&amp;B15,'[1]Daily Sleep'!$A$2:$A$468&amp;'[1]Daily Sleep'!$B$2:$B$468,'[1]Daily Sleep'!$D$2:$D$468,"")</f>
        <v/>
      </c>
    </row>
    <row r="16" spans="1:16" x14ac:dyDescent="0.35">
      <c r="A16">
        <v>1503960366</v>
      </c>
      <c r="B16" s="1">
        <v>42468</v>
      </c>
      <c r="C16">
        <v>12521</v>
      </c>
      <c r="D16">
        <v>7.9400000572204599</v>
      </c>
      <c r="E16">
        <v>7.9400000572204599</v>
      </c>
      <c r="F16">
        <v>0</v>
      </c>
      <c r="G16">
        <v>3.3099999427795401</v>
      </c>
      <c r="H16">
        <v>0.89999997615814198</v>
      </c>
      <c r="I16">
        <v>3.7400000095367401</v>
      </c>
      <c r="J16">
        <v>0</v>
      </c>
      <c r="K16">
        <v>46</v>
      </c>
      <c r="L16">
        <v>22</v>
      </c>
      <c r="M16">
        <v>212</v>
      </c>
      <c r="N16">
        <v>1160</v>
      </c>
      <c r="O16">
        <v>1895</v>
      </c>
      <c r="P16" s="3" t="str" cm="1">
        <f t="array" ref="P16">_xlfn.XLOOKUP(A16&amp;B16,'[1]Daily Sleep'!$A$2:$A$468&amp;'[1]Daily Sleep'!$B$2:$B$468,'[1]Daily Sleep'!$D$2:$D$468,"")</f>
        <v/>
      </c>
    </row>
    <row r="17" spans="1:16" x14ac:dyDescent="0.35">
      <c r="A17">
        <v>1503960366</v>
      </c>
      <c r="B17" s="1">
        <v>42469</v>
      </c>
      <c r="C17">
        <v>12432</v>
      </c>
      <c r="D17">
        <v>8.1000003814697301</v>
      </c>
      <c r="E17">
        <v>8.1000003814697301</v>
      </c>
      <c r="F17">
        <v>0</v>
      </c>
      <c r="G17">
        <v>2.5899999141693102</v>
      </c>
      <c r="H17">
        <v>0.58999997377395597</v>
      </c>
      <c r="I17">
        <v>4.9200000762939498</v>
      </c>
      <c r="J17">
        <v>0</v>
      </c>
      <c r="K17">
        <v>32</v>
      </c>
      <c r="L17">
        <v>15</v>
      </c>
      <c r="M17">
        <v>248</v>
      </c>
      <c r="N17">
        <v>738</v>
      </c>
      <c r="O17">
        <v>1883</v>
      </c>
      <c r="P17" s="3" cm="1">
        <f t="array" ref="P17">_xlfn.XLOOKUP(A17&amp;B17,'[1]Daily Sleep'!$A$2:$A$468&amp;'[1]Daily Sleep'!$B$2:$B$468,'[1]Daily Sleep'!$D$2:$D$468,"")</f>
        <v>6.333333333333333</v>
      </c>
    </row>
    <row r="18" spans="1:16" x14ac:dyDescent="0.35">
      <c r="A18">
        <v>1503960366</v>
      </c>
      <c r="B18" s="1">
        <v>42470</v>
      </c>
      <c r="C18">
        <v>10057</v>
      </c>
      <c r="D18">
        <v>6.9800000190734899</v>
      </c>
      <c r="E18">
        <v>6.9800000190734899</v>
      </c>
      <c r="F18">
        <v>0</v>
      </c>
      <c r="G18">
        <v>4</v>
      </c>
      <c r="H18">
        <v>0.490000009536743</v>
      </c>
      <c r="I18">
        <v>2.4800000190734899</v>
      </c>
      <c r="J18">
        <v>0</v>
      </c>
      <c r="K18">
        <v>44</v>
      </c>
      <c r="L18">
        <v>13</v>
      </c>
      <c r="M18">
        <v>168</v>
      </c>
      <c r="N18">
        <v>737</v>
      </c>
      <c r="O18">
        <v>1755</v>
      </c>
      <c r="P18" s="3" cm="1">
        <f t="array" ref="P18">_xlfn.XLOOKUP(A18&amp;B18,'[1]Daily Sleep'!$A$2:$A$468&amp;'[1]Daily Sleep'!$B$2:$B$468,'[1]Daily Sleep'!$D$2:$D$468,"")</f>
        <v>7.583333333333333</v>
      </c>
    </row>
    <row r="19" spans="1:16" x14ac:dyDescent="0.35">
      <c r="A19">
        <v>1503960366</v>
      </c>
      <c r="B19" s="1">
        <v>42471</v>
      </c>
      <c r="C19">
        <v>10990</v>
      </c>
      <c r="D19">
        <v>7.2600002288818404</v>
      </c>
      <c r="E19">
        <v>7.2600002288818404</v>
      </c>
      <c r="F19">
        <v>0</v>
      </c>
      <c r="G19">
        <v>2.03999996185303</v>
      </c>
      <c r="H19">
        <v>0.56999999284744296</v>
      </c>
      <c r="I19">
        <v>4.6500000953674299</v>
      </c>
      <c r="J19">
        <v>0</v>
      </c>
      <c r="K19">
        <v>26</v>
      </c>
      <c r="L19">
        <v>14</v>
      </c>
      <c r="M19">
        <v>216</v>
      </c>
      <c r="N19">
        <v>855</v>
      </c>
      <c r="O19">
        <v>1811</v>
      </c>
      <c r="P19" s="3" cm="1">
        <f t="array" ref="P19">_xlfn.XLOOKUP(A19&amp;B19,'[1]Daily Sleep'!$A$2:$A$468&amp;'[1]Daily Sleep'!$B$2:$B$468,'[1]Daily Sleep'!$D$2:$D$468,"")</f>
        <v>5.166666666666667</v>
      </c>
    </row>
    <row r="20" spans="1:16" x14ac:dyDescent="0.35">
      <c r="A20">
        <v>1503960366</v>
      </c>
      <c r="B20" s="1">
        <v>42472</v>
      </c>
      <c r="C20">
        <v>224</v>
      </c>
      <c r="D20">
        <v>0.140000000596046</v>
      </c>
      <c r="E20">
        <v>0.140000000596046</v>
      </c>
      <c r="F20">
        <v>0</v>
      </c>
      <c r="G20">
        <v>0</v>
      </c>
      <c r="H20">
        <v>0</v>
      </c>
      <c r="I20">
        <v>0.129999995231628</v>
      </c>
      <c r="J20">
        <v>0</v>
      </c>
      <c r="K20">
        <v>0</v>
      </c>
      <c r="L20">
        <v>0</v>
      </c>
      <c r="M20">
        <v>9</v>
      </c>
      <c r="N20">
        <v>32</v>
      </c>
      <c r="O20">
        <v>50</v>
      </c>
      <c r="P20" s="3" t="str" cm="1">
        <f t="array" ref="P20">_xlfn.XLOOKUP(A20&amp;B20,'[1]Daily Sleep'!$A$2:$A$468&amp;'[1]Daily Sleep'!$B$2:$B$468,'[1]Daily Sleep'!$D$2:$D$468,"")</f>
        <v/>
      </c>
    </row>
    <row r="21" spans="1:16" x14ac:dyDescent="0.35">
      <c r="A21">
        <v>1624580081</v>
      </c>
      <c r="B21" s="1">
        <v>42454</v>
      </c>
      <c r="C21">
        <v>1810</v>
      </c>
      <c r="D21">
        <v>1.1799999475479099</v>
      </c>
      <c r="E21">
        <v>1.1799999475479099</v>
      </c>
      <c r="F21">
        <v>0</v>
      </c>
      <c r="G21">
        <v>0</v>
      </c>
      <c r="H21">
        <v>0</v>
      </c>
      <c r="I21">
        <v>1.12999999523163</v>
      </c>
      <c r="J21">
        <v>9.9999997764825804E-3</v>
      </c>
      <c r="K21">
        <v>0</v>
      </c>
      <c r="L21">
        <v>0</v>
      </c>
      <c r="M21">
        <v>121</v>
      </c>
      <c r="N21">
        <v>1319</v>
      </c>
      <c r="O21">
        <v>1373</v>
      </c>
      <c r="P21" s="3" t="str" cm="1">
        <f t="array" ref="P21">_xlfn.XLOOKUP(A21&amp;B21,'[1]Daily Sleep'!$A$2:$A$468&amp;'[1]Daily Sleep'!$B$2:$B$468,'[1]Daily Sleep'!$D$2:$D$468,"")</f>
        <v/>
      </c>
    </row>
    <row r="22" spans="1:16" x14ac:dyDescent="0.35">
      <c r="A22">
        <v>1624580081</v>
      </c>
      <c r="B22" s="1">
        <v>42455</v>
      </c>
      <c r="C22">
        <v>815</v>
      </c>
      <c r="D22">
        <v>0.52999997138977095</v>
      </c>
      <c r="E22">
        <v>0.52999997138977095</v>
      </c>
      <c r="F22">
        <v>0</v>
      </c>
      <c r="G22">
        <v>0</v>
      </c>
      <c r="H22">
        <v>0</v>
      </c>
      <c r="I22">
        <v>0.52999997138977095</v>
      </c>
      <c r="J22">
        <v>0</v>
      </c>
      <c r="K22">
        <v>0</v>
      </c>
      <c r="L22">
        <v>0</v>
      </c>
      <c r="M22">
        <v>47</v>
      </c>
      <c r="N22">
        <v>1393</v>
      </c>
      <c r="O22">
        <v>1264</v>
      </c>
      <c r="P22" s="3" t="str" cm="1">
        <f t="array" ref="P22">_xlfn.XLOOKUP(A22&amp;B22,'[1]Daily Sleep'!$A$2:$A$468&amp;'[1]Daily Sleep'!$B$2:$B$468,'[1]Daily Sleep'!$D$2:$D$468,"")</f>
        <v/>
      </c>
    </row>
    <row r="23" spans="1:16" x14ac:dyDescent="0.35">
      <c r="A23">
        <v>1624580081</v>
      </c>
      <c r="B23" s="1">
        <v>42456</v>
      </c>
      <c r="C23">
        <v>1985</v>
      </c>
      <c r="D23">
        <v>1.28999996185303</v>
      </c>
      <c r="E23">
        <v>1.28999996185303</v>
      </c>
      <c r="F23">
        <v>0</v>
      </c>
      <c r="G23">
        <v>0</v>
      </c>
      <c r="H23">
        <v>0</v>
      </c>
      <c r="I23">
        <v>1.2799999713897701</v>
      </c>
      <c r="J23">
        <v>9.9999997764825804E-3</v>
      </c>
      <c r="K23">
        <v>0</v>
      </c>
      <c r="L23">
        <v>0</v>
      </c>
      <c r="M23">
        <v>112</v>
      </c>
      <c r="N23">
        <v>1328</v>
      </c>
      <c r="O23">
        <v>1350</v>
      </c>
      <c r="P23" s="3" t="str" cm="1">
        <f t="array" ref="P23">_xlfn.XLOOKUP(A23&amp;B23,'[1]Daily Sleep'!$A$2:$A$468&amp;'[1]Daily Sleep'!$B$2:$B$468,'[1]Daily Sleep'!$D$2:$D$468,"")</f>
        <v/>
      </c>
    </row>
    <row r="24" spans="1:16" x14ac:dyDescent="0.35">
      <c r="A24">
        <v>1624580081</v>
      </c>
      <c r="B24" s="1">
        <v>42457</v>
      </c>
      <c r="C24">
        <v>1905</v>
      </c>
      <c r="D24">
        <v>1.2400000095367401</v>
      </c>
      <c r="E24">
        <v>1.2400000095367401</v>
      </c>
      <c r="F24">
        <v>0</v>
      </c>
      <c r="G24">
        <v>0</v>
      </c>
      <c r="H24">
        <v>0</v>
      </c>
      <c r="I24">
        <v>1.2400000095367401</v>
      </c>
      <c r="J24">
        <v>0</v>
      </c>
      <c r="K24">
        <v>0</v>
      </c>
      <c r="L24">
        <v>0</v>
      </c>
      <c r="M24">
        <v>95</v>
      </c>
      <c r="N24">
        <v>1345</v>
      </c>
      <c r="O24">
        <v>1342</v>
      </c>
      <c r="P24" s="3" t="str" cm="1">
        <f t="array" ref="P24">_xlfn.XLOOKUP(A24&amp;B24,'[1]Daily Sleep'!$A$2:$A$468&amp;'[1]Daily Sleep'!$B$2:$B$468,'[1]Daily Sleep'!$D$2:$D$468,"")</f>
        <v/>
      </c>
    </row>
    <row r="25" spans="1:16" x14ac:dyDescent="0.35">
      <c r="A25">
        <v>1624580081</v>
      </c>
      <c r="B25" s="1">
        <v>42458</v>
      </c>
      <c r="C25">
        <v>1552</v>
      </c>
      <c r="D25">
        <v>1.0099999904632599</v>
      </c>
      <c r="E25">
        <v>1.0099999904632599</v>
      </c>
      <c r="F25">
        <v>0</v>
      </c>
      <c r="G25">
        <v>0</v>
      </c>
      <c r="H25">
        <v>0</v>
      </c>
      <c r="I25">
        <v>1</v>
      </c>
      <c r="J25">
        <v>0</v>
      </c>
      <c r="K25">
        <v>0</v>
      </c>
      <c r="L25">
        <v>0</v>
      </c>
      <c r="M25">
        <v>66</v>
      </c>
      <c r="N25">
        <v>1374</v>
      </c>
      <c r="O25">
        <v>1300</v>
      </c>
      <c r="P25" s="3" t="str" cm="1">
        <f t="array" ref="P25">_xlfn.XLOOKUP(A25&amp;B25,'[1]Daily Sleep'!$A$2:$A$468&amp;'[1]Daily Sleep'!$B$2:$B$468,'[1]Daily Sleep'!$D$2:$D$468,"")</f>
        <v/>
      </c>
    </row>
    <row r="26" spans="1:16" x14ac:dyDescent="0.35">
      <c r="A26">
        <v>1624580081</v>
      </c>
      <c r="B26" s="1">
        <v>42459</v>
      </c>
      <c r="C26">
        <v>1675</v>
      </c>
      <c r="D26">
        <v>1.0900000333786</v>
      </c>
      <c r="E26">
        <v>1.0900000333786</v>
      </c>
      <c r="F26">
        <v>0</v>
      </c>
      <c r="G26">
        <v>0</v>
      </c>
      <c r="H26">
        <v>0</v>
      </c>
      <c r="I26">
        <v>1.0900000333786</v>
      </c>
      <c r="J26">
        <v>0</v>
      </c>
      <c r="K26">
        <v>0</v>
      </c>
      <c r="L26">
        <v>0</v>
      </c>
      <c r="M26">
        <v>84</v>
      </c>
      <c r="N26">
        <v>1356</v>
      </c>
      <c r="O26">
        <v>1313</v>
      </c>
      <c r="P26" s="3" t="str" cm="1">
        <f t="array" ref="P26">_xlfn.XLOOKUP(A26&amp;B26,'[1]Daily Sleep'!$A$2:$A$468&amp;'[1]Daily Sleep'!$B$2:$B$468,'[1]Daily Sleep'!$D$2:$D$468,"")</f>
        <v/>
      </c>
    </row>
    <row r="27" spans="1:16" x14ac:dyDescent="0.35">
      <c r="A27">
        <v>1624580081</v>
      </c>
      <c r="B27" s="1">
        <v>42460</v>
      </c>
      <c r="C27">
        <v>4506</v>
      </c>
      <c r="D27">
        <v>2.9300000667571999</v>
      </c>
      <c r="E27">
        <v>2.9300000667571999</v>
      </c>
      <c r="F27">
        <v>0</v>
      </c>
      <c r="G27">
        <v>0.50999999046325695</v>
      </c>
      <c r="H27">
        <v>0.270000010728836</v>
      </c>
      <c r="I27">
        <v>2.1500000953674299</v>
      </c>
      <c r="J27">
        <v>9.9999997764825804E-3</v>
      </c>
      <c r="K27">
        <v>7</v>
      </c>
      <c r="L27">
        <v>4</v>
      </c>
      <c r="M27">
        <v>144</v>
      </c>
      <c r="N27">
        <v>1285</v>
      </c>
      <c r="O27">
        <v>1498</v>
      </c>
      <c r="P27" s="3" t="str" cm="1">
        <f t="array" ref="P27">_xlfn.XLOOKUP(A27&amp;B27,'[1]Daily Sleep'!$A$2:$A$468&amp;'[1]Daily Sleep'!$B$2:$B$468,'[1]Daily Sleep'!$D$2:$D$468,"")</f>
        <v/>
      </c>
    </row>
    <row r="28" spans="1:16" x14ac:dyDescent="0.35">
      <c r="A28">
        <v>1624580081</v>
      </c>
      <c r="B28" s="1">
        <v>42461</v>
      </c>
      <c r="C28">
        <v>9218</v>
      </c>
      <c r="D28">
        <v>5.9899997711181596</v>
      </c>
      <c r="E28">
        <v>5.9899997711181596</v>
      </c>
      <c r="F28">
        <v>0</v>
      </c>
      <c r="G28">
        <v>0</v>
      </c>
      <c r="H28">
        <v>0</v>
      </c>
      <c r="I28">
        <v>5.9699997901916504</v>
      </c>
      <c r="J28">
        <v>9.9999997764825804E-3</v>
      </c>
      <c r="K28">
        <v>0</v>
      </c>
      <c r="L28">
        <v>0</v>
      </c>
      <c r="M28">
        <v>221</v>
      </c>
      <c r="N28">
        <v>1219</v>
      </c>
      <c r="O28">
        <v>1541</v>
      </c>
      <c r="P28" s="3" t="str" cm="1">
        <f t="array" ref="P28">_xlfn.XLOOKUP(A28&amp;B28,'[1]Daily Sleep'!$A$2:$A$468&amp;'[1]Daily Sleep'!$B$2:$B$468,'[1]Daily Sleep'!$D$2:$D$468,"")</f>
        <v/>
      </c>
    </row>
    <row r="29" spans="1:16" x14ac:dyDescent="0.35">
      <c r="A29">
        <v>1624580081</v>
      </c>
      <c r="B29" s="1">
        <v>42462</v>
      </c>
      <c r="C29">
        <v>1556</v>
      </c>
      <c r="D29">
        <v>1.0099999904632599</v>
      </c>
      <c r="E29">
        <v>1.0099999904632599</v>
      </c>
      <c r="F29">
        <v>0</v>
      </c>
      <c r="G29">
        <v>0</v>
      </c>
      <c r="H29">
        <v>0</v>
      </c>
      <c r="I29">
        <v>1.0099999904632599</v>
      </c>
      <c r="J29">
        <v>9.9999997764825804E-3</v>
      </c>
      <c r="K29">
        <v>0</v>
      </c>
      <c r="L29">
        <v>0</v>
      </c>
      <c r="M29">
        <v>88</v>
      </c>
      <c r="N29">
        <v>1352</v>
      </c>
      <c r="O29">
        <v>1327</v>
      </c>
      <c r="P29" s="3" t="str" cm="1">
        <f t="array" ref="P29">_xlfn.XLOOKUP(A29&amp;B29,'[1]Daily Sleep'!$A$2:$A$468&amp;'[1]Daily Sleep'!$B$2:$B$468,'[1]Daily Sleep'!$D$2:$D$468,"")</f>
        <v/>
      </c>
    </row>
    <row r="30" spans="1:16" x14ac:dyDescent="0.35">
      <c r="A30">
        <v>1624580081</v>
      </c>
      <c r="B30" s="1">
        <v>42463</v>
      </c>
      <c r="C30">
        <v>2910</v>
      </c>
      <c r="D30">
        <v>1.8899999856948899</v>
      </c>
      <c r="E30">
        <v>1.8899999856948899</v>
      </c>
      <c r="F30">
        <v>0</v>
      </c>
      <c r="G30">
        <v>0</v>
      </c>
      <c r="H30">
        <v>0</v>
      </c>
      <c r="I30">
        <v>1.87999999523163</v>
      </c>
      <c r="J30">
        <v>9.9999997764825804E-3</v>
      </c>
      <c r="K30">
        <v>0</v>
      </c>
      <c r="L30">
        <v>0</v>
      </c>
      <c r="M30">
        <v>157</v>
      </c>
      <c r="N30">
        <v>1283</v>
      </c>
      <c r="O30">
        <v>1452</v>
      </c>
      <c r="P30" s="3" t="str" cm="1">
        <f t="array" ref="P30">_xlfn.XLOOKUP(A30&amp;B30,'[1]Daily Sleep'!$A$2:$A$468&amp;'[1]Daily Sleep'!$B$2:$B$468,'[1]Daily Sleep'!$D$2:$D$468,"")</f>
        <v/>
      </c>
    </row>
    <row r="31" spans="1:16" x14ac:dyDescent="0.35">
      <c r="A31">
        <v>1624580081</v>
      </c>
      <c r="B31" s="1">
        <v>42464</v>
      </c>
      <c r="C31">
        <v>18464</v>
      </c>
      <c r="D31">
        <v>12</v>
      </c>
      <c r="E31">
        <v>12</v>
      </c>
      <c r="F31">
        <v>0</v>
      </c>
      <c r="G31">
        <v>0</v>
      </c>
      <c r="H31">
        <v>0</v>
      </c>
      <c r="I31">
        <v>12</v>
      </c>
      <c r="J31">
        <v>0</v>
      </c>
      <c r="K31">
        <v>0</v>
      </c>
      <c r="L31">
        <v>0</v>
      </c>
      <c r="M31">
        <v>270</v>
      </c>
      <c r="N31">
        <v>1170</v>
      </c>
      <c r="O31">
        <v>1574</v>
      </c>
      <c r="P31" s="3" t="str" cm="1">
        <f t="array" ref="P31">_xlfn.XLOOKUP(A31&amp;B31,'[1]Daily Sleep'!$A$2:$A$468&amp;'[1]Daily Sleep'!$B$2:$B$468,'[1]Daily Sleep'!$D$2:$D$468,"")</f>
        <v/>
      </c>
    </row>
    <row r="32" spans="1:16" x14ac:dyDescent="0.35">
      <c r="A32">
        <v>1624580081</v>
      </c>
      <c r="B32" s="1">
        <v>42465</v>
      </c>
      <c r="C32">
        <v>1335</v>
      </c>
      <c r="D32">
        <v>0.87000000476837203</v>
      </c>
      <c r="E32">
        <v>0.87000000476837203</v>
      </c>
      <c r="F32">
        <v>0</v>
      </c>
      <c r="G32">
        <v>0</v>
      </c>
      <c r="H32">
        <v>0</v>
      </c>
      <c r="I32">
        <v>0.87000000476837203</v>
      </c>
      <c r="J32">
        <v>0</v>
      </c>
      <c r="K32">
        <v>0</v>
      </c>
      <c r="L32">
        <v>0</v>
      </c>
      <c r="M32">
        <v>74</v>
      </c>
      <c r="N32">
        <v>1366</v>
      </c>
      <c r="O32">
        <v>1308</v>
      </c>
      <c r="P32" s="3" t="str" cm="1">
        <f t="array" ref="P32">_xlfn.XLOOKUP(A32&amp;B32,'[1]Daily Sleep'!$A$2:$A$468&amp;'[1]Daily Sleep'!$B$2:$B$468,'[1]Daily Sleep'!$D$2:$D$468,"")</f>
        <v/>
      </c>
    </row>
    <row r="33" spans="1:16" x14ac:dyDescent="0.35">
      <c r="A33">
        <v>1624580081</v>
      </c>
      <c r="B33" s="1">
        <v>42466</v>
      </c>
      <c r="C33">
        <v>1004</v>
      </c>
      <c r="D33">
        <v>0.64999997615814198</v>
      </c>
      <c r="E33">
        <v>0.64999997615814198</v>
      </c>
      <c r="F33">
        <v>0</v>
      </c>
      <c r="G33">
        <v>0</v>
      </c>
      <c r="H33">
        <v>0</v>
      </c>
      <c r="I33">
        <v>0.64999997615814198</v>
      </c>
      <c r="J33">
        <v>0</v>
      </c>
      <c r="K33">
        <v>0</v>
      </c>
      <c r="L33">
        <v>0</v>
      </c>
      <c r="M33">
        <v>55</v>
      </c>
      <c r="N33">
        <v>1385</v>
      </c>
      <c r="O33">
        <v>1276</v>
      </c>
      <c r="P33" s="3" t="str" cm="1">
        <f t="array" ref="P33">_xlfn.XLOOKUP(A33&amp;B33,'[1]Daily Sleep'!$A$2:$A$468&amp;'[1]Daily Sleep'!$B$2:$B$468,'[1]Daily Sleep'!$D$2:$D$468,"")</f>
        <v/>
      </c>
    </row>
    <row r="34" spans="1:16" x14ac:dyDescent="0.35">
      <c r="A34">
        <v>1624580081</v>
      </c>
      <c r="B34" s="1">
        <v>42467</v>
      </c>
      <c r="C34">
        <v>1111</v>
      </c>
      <c r="D34">
        <v>0.72000002861022905</v>
      </c>
      <c r="E34">
        <v>0.72000002861022905</v>
      </c>
      <c r="F34">
        <v>0</v>
      </c>
      <c r="G34">
        <v>0</v>
      </c>
      <c r="H34">
        <v>0</v>
      </c>
      <c r="I34">
        <v>0.72000002861022905</v>
      </c>
      <c r="J34">
        <v>0</v>
      </c>
      <c r="K34">
        <v>0</v>
      </c>
      <c r="L34">
        <v>0</v>
      </c>
      <c r="M34">
        <v>54</v>
      </c>
      <c r="N34">
        <v>1386</v>
      </c>
      <c r="O34">
        <v>1278</v>
      </c>
      <c r="P34" s="3" t="str" cm="1">
        <f t="array" ref="P34">_xlfn.XLOOKUP(A34&amp;B34,'[1]Daily Sleep'!$A$2:$A$468&amp;'[1]Daily Sleep'!$B$2:$B$468,'[1]Daily Sleep'!$D$2:$D$468,"")</f>
        <v/>
      </c>
    </row>
    <row r="35" spans="1:16" x14ac:dyDescent="0.35">
      <c r="A35">
        <v>1624580081</v>
      </c>
      <c r="B35" s="1">
        <v>42468</v>
      </c>
      <c r="C35">
        <v>6344</v>
      </c>
      <c r="D35">
        <v>4.1199998855590803</v>
      </c>
      <c r="E35">
        <v>4.1199998855590803</v>
      </c>
      <c r="F35">
        <v>0</v>
      </c>
      <c r="G35">
        <v>0</v>
      </c>
      <c r="H35">
        <v>0</v>
      </c>
      <c r="I35">
        <v>4.0999999046325701</v>
      </c>
      <c r="J35">
        <v>0</v>
      </c>
      <c r="K35">
        <v>0</v>
      </c>
      <c r="L35">
        <v>0</v>
      </c>
      <c r="M35">
        <v>143</v>
      </c>
      <c r="N35">
        <v>1297</v>
      </c>
      <c r="O35">
        <v>1409</v>
      </c>
      <c r="P35" s="3" t="str" cm="1">
        <f t="array" ref="P35">_xlfn.XLOOKUP(A35&amp;B35,'[1]Daily Sleep'!$A$2:$A$468&amp;'[1]Daily Sleep'!$B$2:$B$468,'[1]Daily Sleep'!$D$2:$D$468,"")</f>
        <v/>
      </c>
    </row>
    <row r="36" spans="1:16" x14ac:dyDescent="0.35">
      <c r="A36">
        <v>1624580081</v>
      </c>
      <c r="B36" s="1">
        <v>42469</v>
      </c>
      <c r="C36">
        <v>3572</v>
      </c>
      <c r="D36">
        <v>2.3199999332428001</v>
      </c>
      <c r="E36">
        <v>2.3199999332428001</v>
      </c>
      <c r="F36">
        <v>0</v>
      </c>
      <c r="G36">
        <v>0</v>
      </c>
      <c r="H36">
        <v>0</v>
      </c>
      <c r="I36">
        <v>2.28999996185303</v>
      </c>
      <c r="J36">
        <v>2.9999999329447701E-2</v>
      </c>
      <c r="K36">
        <v>0</v>
      </c>
      <c r="L36">
        <v>0</v>
      </c>
      <c r="M36">
        <v>122</v>
      </c>
      <c r="N36">
        <v>1318</v>
      </c>
      <c r="O36">
        <v>1370</v>
      </c>
      <c r="P36" s="3" t="str" cm="1">
        <f t="array" ref="P36">_xlfn.XLOOKUP(A36&amp;B36,'[1]Daily Sleep'!$A$2:$A$468&amp;'[1]Daily Sleep'!$B$2:$B$468,'[1]Daily Sleep'!$D$2:$D$468,"")</f>
        <v/>
      </c>
    </row>
    <row r="37" spans="1:16" x14ac:dyDescent="0.35">
      <c r="A37">
        <v>1624580081</v>
      </c>
      <c r="B37" s="1">
        <v>42470</v>
      </c>
      <c r="C37">
        <v>3910</v>
      </c>
      <c r="D37">
        <v>2.53999996185303</v>
      </c>
      <c r="E37">
        <v>2.53999996185303</v>
      </c>
      <c r="F37">
        <v>0</v>
      </c>
      <c r="G37">
        <v>0.46999999880790699</v>
      </c>
      <c r="H37">
        <v>0.25</v>
      </c>
      <c r="I37">
        <v>1.8099999427795399</v>
      </c>
      <c r="J37">
        <v>9.9999997764825804E-3</v>
      </c>
      <c r="K37">
        <v>7</v>
      </c>
      <c r="L37">
        <v>7</v>
      </c>
      <c r="M37">
        <v>186</v>
      </c>
      <c r="N37">
        <v>1240</v>
      </c>
      <c r="O37">
        <v>1555</v>
      </c>
      <c r="P37" s="3" t="str" cm="1">
        <f t="array" ref="P37">_xlfn.XLOOKUP(A37&amp;B37,'[1]Daily Sleep'!$A$2:$A$468&amp;'[1]Daily Sleep'!$B$2:$B$468,'[1]Daily Sleep'!$D$2:$D$468,"")</f>
        <v/>
      </c>
    </row>
    <row r="38" spans="1:16" x14ac:dyDescent="0.35">
      <c r="A38">
        <v>1624580081</v>
      </c>
      <c r="B38" s="1">
        <v>42471</v>
      </c>
      <c r="C38">
        <v>10000</v>
      </c>
      <c r="D38">
        <v>6.5</v>
      </c>
      <c r="E38">
        <v>6.5</v>
      </c>
      <c r="F38">
        <v>0</v>
      </c>
      <c r="G38">
        <v>0</v>
      </c>
      <c r="H38">
        <v>0</v>
      </c>
      <c r="I38">
        <v>6.5</v>
      </c>
      <c r="J38">
        <v>0</v>
      </c>
      <c r="K38">
        <v>0</v>
      </c>
      <c r="L38">
        <v>0</v>
      </c>
      <c r="M38">
        <v>172</v>
      </c>
      <c r="N38">
        <v>1268</v>
      </c>
      <c r="O38">
        <v>1469</v>
      </c>
      <c r="P38" s="3" t="str" cm="1">
        <f t="array" ref="P38">_xlfn.XLOOKUP(A38&amp;B38,'[1]Daily Sleep'!$A$2:$A$468&amp;'[1]Daily Sleep'!$B$2:$B$468,'[1]Daily Sleep'!$D$2:$D$468,"")</f>
        <v/>
      </c>
    </row>
    <row r="39" spans="1:16" x14ac:dyDescent="0.35">
      <c r="A39">
        <v>1624580081</v>
      </c>
      <c r="B39" s="1">
        <v>42472</v>
      </c>
      <c r="C39">
        <v>6627</v>
      </c>
      <c r="D39">
        <v>4.3099999427795401</v>
      </c>
      <c r="E39">
        <v>4.3099999427795401</v>
      </c>
      <c r="F39">
        <v>0</v>
      </c>
      <c r="G39">
        <v>0</v>
      </c>
      <c r="H39">
        <v>0</v>
      </c>
      <c r="I39">
        <v>4.3099999427795401</v>
      </c>
      <c r="J39">
        <v>0</v>
      </c>
      <c r="K39">
        <v>0</v>
      </c>
      <c r="L39">
        <v>0</v>
      </c>
      <c r="M39">
        <v>89</v>
      </c>
      <c r="N39">
        <v>604</v>
      </c>
      <c r="O39">
        <v>706</v>
      </c>
      <c r="P39" s="3" t="str" cm="1">
        <f t="array" ref="P39">_xlfn.XLOOKUP(A39&amp;B39,'[1]Daily Sleep'!$A$2:$A$468&amp;'[1]Daily Sleep'!$B$2:$B$468,'[1]Daily Sleep'!$D$2:$D$468,"")</f>
        <v/>
      </c>
    </row>
    <row r="40" spans="1:16" x14ac:dyDescent="0.35">
      <c r="A40">
        <v>1644430081</v>
      </c>
      <c r="B40" s="1">
        <v>42461</v>
      </c>
      <c r="C40">
        <v>4636</v>
      </c>
      <c r="D40">
        <v>3.4100000858306898</v>
      </c>
      <c r="E40">
        <v>3.4100000858306898</v>
      </c>
      <c r="F40">
        <v>0</v>
      </c>
      <c r="G40">
        <v>0</v>
      </c>
      <c r="H40">
        <v>0.77999997138977095</v>
      </c>
      <c r="I40">
        <v>2.5999999046325701</v>
      </c>
      <c r="J40">
        <v>2.9999999329447701E-2</v>
      </c>
      <c r="K40">
        <v>0</v>
      </c>
      <c r="L40">
        <v>16</v>
      </c>
      <c r="M40">
        <v>586</v>
      </c>
      <c r="N40">
        <v>838</v>
      </c>
      <c r="O40">
        <v>3323</v>
      </c>
      <c r="P40" s="3" t="str" cm="1">
        <f t="array" ref="P40">_xlfn.XLOOKUP(A40&amp;B40,'[1]Daily Sleep'!$A$2:$A$468&amp;'[1]Daily Sleep'!$B$2:$B$468,'[1]Daily Sleep'!$D$2:$D$468,"")</f>
        <v/>
      </c>
    </row>
    <row r="41" spans="1:16" x14ac:dyDescent="0.35">
      <c r="A41">
        <v>1644430081</v>
      </c>
      <c r="B41" s="1">
        <v>42462</v>
      </c>
      <c r="C41">
        <v>20237</v>
      </c>
      <c r="D41">
        <v>14.710000038146999</v>
      </c>
      <c r="E41">
        <v>14.710000038146999</v>
      </c>
      <c r="F41">
        <v>0</v>
      </c>
      <c r="G41">
        <v>2.5699999332428001</v>
      </c>
      <c r="H41">
        <v>6.4000000953674299</v>
      </c>
      <c r="I41">
        <v>5.7300000190734899</v>
      </c>
      <c r="J41">
        <v>9.9999997764825804E-3</v>
      </c>
      <c r="K41">
        <v>34</v>
      </c>
      <c r="L41">
        <v>141</v>
      </c>
      <c r="M41">
        <v>347</v>
      </c>
      <c r="N41">
        <v>918</v>
      </c>
      <c r="O41">
        <v>4029</v>
      </c>
      <c r="P41" s="3" t="str" cm="1">
        <f t="array" ref="P41">_xlfn.XLOOKUP(A41&amp;B41,'[1]Daily Sleep'!$A$2:$A$468&amp;'[1]Daily Sleep'!$B$2:$B$468,'[1]Daily Sleep'!$D$2:$D$468,"")</f>
        <v/>
      </c>
    </row>
    <row r="42" spans="1:16" x14ac:dyDescent="0.35">
      <c r="A42">
        <v>1644430081</v>
      </c>
      <c r="B42" s="1">
        <v>42463</v>
      </c>
      <c r="C42">
        <v>12912</v>
      </c>
      <c r="D42">
        <v>9.4099998474121094</v>
      </c>
      <c r="E42">
        <v>9.4099998474121094</v>
      </c>
      <c r="F42">
        <v>0</v>
      </c>
      <c r="G42">
        <v>4.8299999237060502</v>
      </c>
      <c r="H42">
        <v>0.769999980926514</v>
      </c>
      <c r="I42">
        <v>3.78999996185303</v>
      </c>
      <c r="J42">
        <v>2.9999999329447701E-2</v>
      </c>
      <c r="K42">
        <v>59</v>
      </c>
      <c r="L42">
        <v>16</v>
      </c>
      <c r="M42">
        <v>283</v>
      </c>
      <c r="N42">
        <v>1082</v>
      </c>
      <c r="O42">
        <v>3436</v>
      </c>
      <c r="P42" s="3" t="str" cm="1">
        <f t="array" ref="P42">_xlfn.XLOOKUP(A42&amp;B42,'[1]Daily Sleep'!$A$2:$A$468&amp;'[1]Daily Sleep'!$B$2:$B$468,'[1]Daily Sleep'!$D$2:$D$468,"")</f>
        <v/>
      </c>
    </row>
    <row r="43" spans="1:16" x14ac:dyDescent="0.35">
      <c r="A43">
        <v>1644430081</v>
      </c>
      <c r="B43" s="1">
        <v>42464</v>
      </c>
      <c r="C43">
        <v>2819</v>
      </c>
      <c r="D43">
        <v>2.0499999523162802</v>
      </c>
      <c r="E43">
        <v>2.0499999523162802</v>
      </c>
      <c r="F43">
        <v>0</v>
      </c>
      <c r="G43">
        <v>0.31000000238418601</v>
      </c>
      <c r="H43">
        <v>0.17000000178813901</v>
      </c>
      <c r="I43">
        <v>1.5599999427795399</v>
      </c>
      <c r="J43">
        <v>9.9999997764825804E-3</v>
      </c>
      <c r="K43">
        <v>4</v>
      </c>
      <c r="L43">
        <v>4</v>
      </c>
      <c r="M43">
        <v>87</v>
      </c>
      <c r="N43">
        <v>1345</v>
      </c>
      <c r="O43">
        <v>2444</v>
      </c>
      <c r="P43" s="3" t="str" cm="1">
        <f t="array" ref="P43">_xlfn.XLOOKUP(A43&amp;B43,'[1]Daily Sleep'!$A$2:$A$468&amp;'[1]Daily Sleep'!$B$2:$B$468,'[1]Daily Sleep'!$D$2:$D$468,"")</f>
        <v/>
      </c>
    </row>
    <row r="44" spans="1:16" x14ac:dyDescent="0.35">
      <c r="A44">
        <v>1644430081</v>
      </c>
      <c r="B44" s="1">
        <v>42465</v>
      </c>
      <c r="C44">
        <v>9921</v>
      </c>
      <c r="D44">
        <v>7.21000003814697</v>
      </c>
      <c r="E44">
        <v>7.21000003814697</v>
      </c>
      <c r="F44">
        <v>0</v>
      </c>
      <c r="G44">
        <v>0.34000000357627902</v>
      </c>
      <c r="H44">
        <v>1.5199999809265099</v>
      </c>
      <c r="I44">
        <v>5.3600001335143999</v>
      </c>
      <c r="J44">
        <v>0</v>
      </c>
      <c r="K44">
        <v>5</v>
      </c>
      <c r="L44">
        <v>35</v>
      </c>
      <c r="M44">
        <v>219</v>
      </c>
      <c r="N44">
        <v>1181</v>
      </c>
      <c r="O44">
        <v>3098</v>
      </c>
      <c r="P44" s="3" t="str" cm="1">
        <f t="array" ref="P44">_xlfn.XLOOKUP(A44&amp;B44,'[1]Daily Sleep'!$A$2:$A$468&amp;'[1]Daily Sleep'!$B$2:$B$468,'[1]Daily Sleep'!$D$2:$D$468,"")</f>
        <v/>
      </c>
    </row>
    <row r="45" spans="1:16" x14ac:dyDescent="0.35">
      <c r="A45">
        <v>1644430081</v>
      </c>
      <c r="B45" s="1">
        <v>42466</v>
      </c>
      <c r="C45">
        <v>8046</v>
      </c>
      <c r="D45">
        <v>5.8499999046325701</v>
      </c>
      <c r="E45">
        <v>5.8499999046325701</v>
      </c>
      <c r="F45">
        <v>0</v>
      </c>
      <c r="G45">
        <v>1.28999996185303</v>
      </c>
      <c r="H45">
        <v>2.1199998855590798</v>
      </c>
      <c r="I45">
        <v>2.4500000476837198</v>
      </c>
      <c r="J45">
        <v>0</v>
      </c>
      <c r="K45">
        <v>18</v>
      </c>
      <c r="L45">
        <v>41</v>
      </c>
      <c r="M45">
        <v>137</v>
      </c>
      <c r="N45">
        <v>1244</v>
      </c>
      <c r="O45">
        <v>2925</v>
      </c>
      <c r="P45" s="3" t="str" cm="1">
        <f t="array" ref="P45">_xlfn.XLOOKUP(A45&amp;B45,'[1]Daily Sleep'!$A$2:$A$468&amp;'[1]Daily Sleep'!$B$2:$B$468,'[1]Daily Sleep'!$D$2:$D$468,"")</f>
        <v/>
      </c>
    </row>
    <row r="46" spans="1:16" x14ac:dyDescent="0.35">
      <c r="A46">
        <v>1644430081</v>
      </c>
      <c r="B46" s="1">
        <v>42467</v>
      </c>
      <c r="C46">
        <v>11166</v>
      </c>
      <c r="D46">
        <v>8.1199998855590803</v>
      </c>
      <c r="E46">
        <v>8.1199998855590803</v>
      </c>
      <c r="F46">
        <v>0</v>
      </c>
      <c r="G46">
        <v>0.20999999344348899</v>
      </c>
      <c r="H46">
        <v>2.4100000858306898</v>
      </c>
      <c r="I46">
        <v>5.5</v>
      </c>
      <c r="J46">
        <v>0</v>
      </c>
      <c r="K46">
        <v>3</v>
      </c>
      <c r="L46">
        <v>58</v>
      </c>
      <c r="M46">
        <v>230</v>
      </c>
      <c r="N46">
        <v>1149</v>
      </c>
      <c r="O46">
        <v>3202</v>
      </c>
      <c r="P46" s="3" t="str" cm="1">
        <f t="array" ref="P46">_xlfn.XLOOKUP(A46&amp;B46,'[1]Daily Sleep'!$A$2:$A$468&amp;'[1]Daily Sleep'!$B$2:$B$468,'[1]Daily Sleep'!$D$2:$D$468,"")</f>
        <v/>
      </c>
    </row>
    <row r="47" spans="1:16" x14ac:dyDescent="0.35">
      <c r="A47">
        <v>1644430081</v>
      </c>
      <c r="B47" s="1">
        <v>42468</v>
      </c>
      <c r="C47">
        <v>7842</v>
      </c>
      <c r="D47">
        <v>5.6999998092651403</v>
      </c>
      <c r="E47">
        <v>5.6999998092651403</v>
      </c>
      <c r="F47">
        <v>0</v>
      </c>
      <c r="G47">
        <v>0.479999989271164</v>
      </c>
      <c r="H47">
        <v>2.4100000858306898</v>
      </c>
      <c r="I47">
        <v>2.8099999427795401</v>
      </c>
      <c r="J47">
        <v>0</v>
      </c>
      <c r="K47">
        <v>7</v>
      </c>
      <c r="L47">
        <v>43</v>
      </c>
      <c r="M47">
        <v>161</v>
      </c>
      <c r="N47">
        <v>1229</v>
      </c>
      <c r="O47">
        <v>2928</v>
      </c>
      <c r="P47" s="3" t="str" cm="1">
        <f t="array" ref="P47">_xlfn.XLOOKUP(A47&amp;B47,'[1]Daily Sleep'!$A$2:$A$468&amp;'[1]Daily Sleep'!$B$2:$B$468,'[1]Daily Sleep'!$D$2:$D$468,"")</f>
        <v/>
      </c>
    </row>
    <row r="48" spans="1:16" x14ac:dyDescent="0.35">
      <c r="A48">
        <v>1644430081</v>
      </c>
      <c r="B48" s="1">
        <v>42469</v>
      </c>
      <c r="C48">
        <v>13840</v>
      </c>
      <c r="D48">
        <v>10.060000419616699</v>
      </c>
      <c r="E48">
        <v>10.060000419616699</v>
      </c>
      <c r="F48">
        <v>0</v>
      </c>
      <c r="G48">
        <v>1.3099999427795399</v>
      </c>
      <c r="H48">
        <v>3.7200000286102299</v>
      </c>
      <c r="I48">
        <v>5.0300002098083496</v>
      </c>
      <c r="J48">
        <v>0</v>
      </c>
      <c r="K48">
        <v>18</v>
      </c>
      <c r="L48">
        <v>81</v>
      </c>
      <c r="M48">
        <v>192</v>
      </c>
      <c r="N48">
        <v>1149</v>
      </c>
      <c r="O48">
        <v>3290</v>
      </c>
      <c r="P48" s="3" t="str" cm="1">
        <f t="array" ref="P48">_xlfn.XLOOKUP(A48&amp;B48,'[1]Daily Sleep'!$A$2:$A$468&amp;'[1]Daily Sleep'!$B$2:$B$468,'[1]Daily Sleep'!$D$2:$D$468,"")</f>
        <v/>
      </c>
    </row>
    <row r="49" spans="1:16" x14ac:dyDescent="0.35">
      <c r="A49">
        <v>1644430081</v>
      </c>
      <c r="B49" s="1">
        <v>42470</v>
      </c>
      <c r="C49">
        <v>1329</v>
      </c>
      <c r="D49">
        <v>0.97000002861022905</v>
      </c>
      <c r="E49">
        <v>0.97000002861022905</v>
      </c>
      <c r="F49">
        <v>0</v>
      </c>
      <c r="G49">
        <v>0</v>
      </c>
      <c r="H49">
        <v>0</v>
      </c>
      <c r="I49">
        <v>0.97000002861022905</v>
      </c>
      <c r="J49">
        <v>0</v>
      </c>
      <c r="K49">
        <v>0</v>
      </c>
      <c r="L49">
        <v>0</v>
      </c>
      <c r="M49">
        <v>35</v>
      </c>
      <c r="N49">
        <v>207</v>
      </c>
      <c r="O49">
        <v>489</v>
      </c>
      <c r="P49" s="3" t="str" cm="1">
        <f t="array" ref="P49">_xlfn.XLOOKUP(A49&amp;B49,'[1]Daily Sleep'!$A$2:$A$468&amp;'[1]Daily Sleep'!$B$2:$B$468,'[1]Daily Sleep'!$D$2:$D$468,"")</f>
        <v/>
      </c>
    </row>
    <row r="50" spans="1:16" x14ac:dyDescent="0.35">
      <c r="A50">
        <v>1844505072</v>
      </c>
      <c r="B50" s="1">
        <v>42461</v>
      </c>
      <c r="C50">
        <v>6847</v>
      </c>
      <c r="D50">
        <v>4.5300002098083496</v>
      </c>
      <c r="E50">
        <v>4.5300002098083496</v>
      </c>
      <c r="F50">
        <v>0</v>
      </c>
      <c r="G50">
        <v>0.61000001430511497</v>
      </c>
      <c r="H50">
        <v>0.37000000476837203</v>
      </c>
      <c r="I50">
        <v>3.5499999523162802</v>
      </c>
      <c r="J50">
        <v>0</v>
      </c>
      <c r="K50">
        <v>9</v>
      </c>
      <c r="L50">
        <v>9</v>
      </c>
      <c r="M50">
        <v>251</v>
      </c>
      <c r="N50">
        <v>1171</v>
      </c>
      <c r="O50">
        <v>1969</v>
      </c>
      <c r="P50" s="3" t="str" cm="1">
        <f t="array" ref="P50">_xlfn.XLOOKUP(A50&amp;B50,'[1]Daily Sleep'!$A$2:$A$468&amp;'[1]Daily Sleep'!$B$2:$B$468,'[1]Daily Sleep'!$D$2:$D$468,"")</f>
        <v/>
      </c>
    </row>
    <row r="51" spans="1:16" x14ac:dyDescent="0.35">
      <c r="A51">
        <v>1844505072</v>
      </c>
      <c r="B51" s="1">
        <v>42462</v>
      </c>
      <c r="C51">
        <v>5367</v>
      </c>
      <c r="D51">
        <v>3.5499999523162802</v>
      </c>
      <c r="E51">
        <v>3.5499999523162802</v>
      </c>
      <c r="F51">
        <v>0</v>
      </c>
      <c r="G51">
        <v>0</v>
      </c>
      <c r="H51">
        <v>0</v>
      </c>
      <c r="I51">
        <v>3.5499999523162802</v>
      </c>
      <c r="J51">
        <v>0</v>
      </c>
      <c r="K51">
        <v>0</v>
      </c>
      <c r="L51">
        <v>0</v>
      </c>
      <c r="M51">
        <v>263</v>
      </c>
      <c r="N51">
        <v>1177</v>
      </c>
      <c r="O51">
        <v>1889</v>
      </c>
      <c r="P51" s="3" t="str" cm="1">
        <f t="array" ref="P51">_xlfn.XLOOKUP(A51&amp;B51,'[1]Daily Sleep'!$A$2:$A$468&amp;'[1]Daily Sleep'!$B$2:$B$468,'[1]Daily Sleep'!$D$2:$D$468,"")</f>
        <v/>
      </c>
    </row>
    <row r="52" spans="1:16" x14ac:dyDescent="0.35">
      <c r="A52">
        <v>1844505072</v>
      </c>
      <c r="B52" s="1">
        <v>42463</v>
      </c>
      <c r="C52">
        <v>2841</v>
      </c>
      <c r="D52">
        <v>1.87999999523163</v>
      </c>
      <c r="E52">
        <v>1.87999999523163</v>
      </c>
      <c r="F52">
        <v>0</v>
      </c>
      <c r="G52">
        <v>0</v>
      </c>
      <c r="H52">
        <v>0</v>
      </c>
      <c r="I52">
        <v>1.87999999523163</v>
      </c>
      <c r="J52">
        <v>0</v>
      </c>
      <c r="K52">
        <v>0</v>
      </c>
      <c r="L52">
        <v>0</v>
      </c>
      <c r="M52">
        <v>136</v>
      </c>
      <c r="N52">
        <v>1114</v>
      </c>
      <c r="O52">
        <v>1636</v>
      </c>
      <c r="P52" s="3" cm="1">
        <f t="array" ref="P52">_xlfn.XLOOKUP(A52&amp;B52,'[1]Daily Sleep'!$A$2:$A$468&amp;'[1]Daily Sleep'!$B$2:$B$468,'[1]Daily Sleep'!$D$2:$D$468,"")</f>
        <v>2.8166666666666669</v>
      </c>
    </row>
    <row r="53" spans="1:16" x14ac:dyDescent="0.35">
      <c r="A53">
        <v>1844505072</v>
      </c>
      <c r="B53" s="1">
        <v>42464</v>
      </c>
      <c r="C53">
        <v>0</v>
      </c>
      <c r="D53">
        <v>0</v>
      </c>
      <c r="E53">
        <v>0</v>
      </c>
      <c r="F53">
        <v>0</v>
      </c>
      <c r="G53">
        <v>0</v>
      </c>
      <c r="H53">
        <v>0</v>
      </c>
      <c r="I53">
        <v>0</v>
      </c>
      <c r="J53">
        <v>0</v>
      </c>
      <c r="K53">
        <v>0</v>
      </c>
      <c r="L53">
        <v>0</v>
      </c>
      <c r="M53">
        <v>0</v>
      </c>
      <c r="N53">
        <v>669</v>
      </c>
      <c r="O53">
        <v>1347</v>
      </c>
      <c r="P53" s="3" cm="1">
        <f t="array" ref="P53">_xlfn.XLOOKUP(A53&amp;B53,'[1]Daily Sleep'!$A$2:$A$468&amp;'[1]Daily Sleep'!$B$2:$B$468,'[1]Daily Sleep'!$D$2:$D$468,"")</f>
        <v>12.85</v>
      </c>
    </row>
    <row r="54" spans="1:16" x14ac:dyDescent="0.35">
      <c r="A54">
        <v>1844505072</v>
      </c>
      <c r="B54" s="1">
        <v>42465</v>
      </c>
      <c r="C54">
        <v>0</v>
      </c>
      <c r="D54">
        <v>0</v>
      </c>
      <c r="E54">
        <v>0</v>
      </c>
      <c r="F54">
        <v>0</v>
      </c>
      <c r="G54">
        <v>0</v>
      </c>
      <c r="H54">
        <v>0</v>
      </c>
      <c r="I54">
        <v>0</v>
      </c>
      <c r="J54">
        <v>0</v>
      </c>
      <c r="K54">
        <v>0</v>
      </c>
      <c r="L54">
        <v>0</v>
      </c>
      <c r="M54">
        <v>0</v>
      </c>
      <c r="N54">
        <v>1440</v>
      </c>
      <c r="O54">
        <v>1347</v>
      </c>
      <c r="P54" s="3" t="str" cm="1">
        <f t="array" ref="P54">_xlfn.XLOOKUP(A54&amp;B54,'[1]Daily Sleep'!$A$2:$A$468&amp;'[1]Daily Sleep'!$B$2:$B$468,'[1]Daily Sleep'!$D$2:$D$468,"")</f>
        <v/>
      </c>
    </row>
    <row r="55" spans="1:16" x14ac:dyDescent="0.35">
      <c r="A55">
        <v>1844505072</v>
      </c>
      <c r="B55" s="1">
        <v>42466</v>
      </c>
      <c r="C55">
        <v>7</v>
      </c>
      <c r="D55">
        <v>0</v>
      </c>
      <c r="E55">
        <v>0</v>
      </c>
      <c r="F55">
        <v>0</v>
      </c>
      <c r="G55">
        <v>0</v>
      </c>
      <c r="H55">
        <v>0</v>
      </c>
      <c r="I55">
        <v>0</v>
      </c>
      <c r="J55">
        <v>0</v>
      </c>
      <c r="K55">
        <v>0</v>
      </c>
      <c r="L55">
        <v>0</v>
      </c>
      <c r="M55">
        <v>1</v>
      </c>
      <c r="N55">
        <v>1439</v>
      </c>
      <c r="O55">
        <v>1349</v>
      </c>
      <c r="P55" s="3" t="str" cm="1">
        <f t="array" ref="P55">_xlfn.XLOOKUP(A55&amp;B55,'[1]Daily Sleep'!$A$2:$A$468&amp;'[1]Daily Sleep'!$B$2:$B$468,'[1]Daily Sleep'!$D$2:$D$468,"")</f>
        <v/>
      </c>
    </row>
    <row r="56" spans="1:16" x14ac:dyDescent="0.35">
      <c r="A56">
        <v>1844505072</v>
      </c>
      <c r="B56" s="1">
        <v>42467</v>
      </c>
      <c r="C56">
        <v>6344</v>
      </c>
      <c r="D56">
        <v>4.1900000572204599</v>
      </c>
      <c r="E56">
        <v>4.1900000572204599</v>
      </c>
      <c r="F56">
        <v>0</v>
      </c>
      <c r="G56">
        <v>0</v>
      </c>
      <c r="H56">
        <v>0</v>
      </c>
      <c r="I56">
        <v>4.1900000572204599</v>
      </c>
      <c r="J56">
        <v>0</v>
      </c>
      <c r="K56">
        <v>0</v>
      </c>
      <c r="L56">
        <v>0</v>
      </c>
      <c r="M56">
        <v>290</v>
      </c>
      <c r="N56">
        <v>1150</v>
      </c>
      <c r="O56">
        <v>1965</v>
      </c>
      <c r="P56" s="3" t="str" cm="1">
        <f t="array" ref="P56">_xlfn.XLOOKUP(A56&amp;B56,'[1]Daily Sleep'!$A$2:$A$468&amp;'[1]Daily Sleep'!$B$2:$B$468,'[1]Daily Sleep'!$D$2:$D$468,"")</f>
        <v/>
      </c>
    </row>
    <row r="57" spans="1:16" x14ac:dyDescent="0.35">
      <c r="A57">
        <v>1844505072</v>
      </c>
      <c r="B57" s="1">
        <v>42468</v>
      </c>
      <c r="C57">
        <v>5316</v>
      </c>
      <c r="D57">
        <v>3.5099999904632599</v>
      </c>
      <c r="E57">
        <v>3.5099999904632599</v>
      </c>
      <c r="F57">
        <v>0</v>
      </c>
      <c r="G57">
        <v>0</v>
      </c>
      <c r="H57">
        <v>0</v>
      </c>
      <c r="I57">
        <v>3.5099999904632599</v>
      </c>
      <c r="J57">
        <v>0</v>
      </c>
      <c r="K57">
        <v>0</v>
      </c>
      <c r="L57">
        <v>0</v>
      </c>
      <c r="M57">
        <v>221</v>
      </c>
      <c r="N57">
        <v>1219</v>
      </c>
      <c r="O57">
        <v>1824</v>
      </c>
      <c r="P57" s="3" t="str" cm="1">
        <f t="array" ref="P57">_xlfn.XLOOKUP(A57&amp;B57,'[1]Daily Sleep'!$A$2:$A$468&amp;'[1]Daily Sleep'!$B$2:$B$468,'[1]Daily Sleep'!$D$2:$D$468,"")</f>
        <v/>
      </c>
    </row>
    <row r="58" spans="1:16" x14ac:dyDescent="0.35">
      <c r="A58">
        <v>1844505072</v>
      </c>
      <c r="B58" s="1">
        <v>42469</v>
      </c>
      <c r="C58">
        <v>4979</v>
      </c>
      <c r="D58">
        <v>3.28999996185303</v>
      </c>
      <c r="E58">
        <v>3.28999996185303</v>
      </c>
      <c r="F58">
        <v>0</v>
      </c>
      <c r="G58">
        <v>0</v>
      </c>
      <c r="H58">
        <v>0</v>
      </c>
      <c r="I58">
        <v>3.28999996185303</v>
      </c>
      <c r="J58">
        <v>0</v>
      </c>
      <c r="K58">
        <v>0</v>
      </c>
      <c r="L58">
        <v>0</v>
      </c>
      <c r="M58">
        <v>184</v>
      </c>
      <c r="N58">
        <v>620</v>
      </c>
      <c r="O58">
        <v>1807</v>
      </c>
      <c r="P58" s="3" cm="1">
        <f t="array" ref="P58">_xlfn.XLOOKUP(A58&amp;B58,'[1]Daily Sleep'!$A$2:$A$468&amp;'[1]Daily Sleep'!$B$2:$B$468,'[1]Daily Sleep'!$D$2:$D$468,"")</f>
        <v>3.6833333333333331</v>
      </c>
    </row>
    <row r="59" spans="1:16" x14ac:dyDescent="0.35">
      <c r="A59">
        <v>1844505072</v>
      </c>
      <c r="B59" s="1">
        <v>42470</v>
      </c>
      <c r="C59">
        <v>6556</v>
      </c>
      <c r="D59">
        <v>4.3400001525878897</v>
      </c>
      <c r="E59">
        <v>4.3400001525878897</v>
      </c>
      <c r="F59">
        <v>0</v>
      </c>
      <c r="G59">
        <v>0</v>
      </c>
      <c r="H59">
        <v>0</v>
      </c>
      <c r="I59">
        <v>4.3299999237060502</v>
      </c>
      <c r="J59">
        <v>0</v>
      </c>
      <c r="K59">
        <v>0</v>
      </c>
      <c r="L59">
        <v>0</v>
      </c>
      <c r="M59">
        <v>305</v>
      </c>
      <c r="N59">
        <v>810</v>
      </c>
      <c r="O59">
        <v>1971</v>
      </c>
      <c r="P59" s="3" cm="1">
        <f t="array" ref="P59">_xlfn.XLOOKUP(A59&amp;B59,'[1]Daily Sleep'!$A$2:$A$468&amp;'[1]Daily Sleep'!$B$2:$B$468,'[1]Daily Sleep'!$D$2:$D$468,"")</f>
        <v>4.6166666666666663</v>
      </c>
    </row>
    <row r="60" spans="1:16" x14ac:dyDescent="0.35">
      <c r="A60">
        <v>1844505072</v>
      </c>
      <c r="B60" s="1">
        <v>42471</v>
      </c>
      <c r="C60">
        <v>5430</v>
      </c>
      <c r="D60">
        <v>3.5899999141693102</v>
      </c>
      <c r="E60">
        <v>3.5899999141693102</v>
      </c>
      <c r="F60">
        <v>0</v>
      </c>
      <c r="G60">
        <v>0</v>
      </c>
      <c r="H60">
        <v>0</v>
      </c>
      <c r="I60">
        <v>3.5899999141693102</v>
      </c>
      <c r="J60">
        <v>0</v>
      </c>
      <c r="K60">
        <v>0</v>
      </c>
      <c r="L60">
        <v>0</v>
      </c>
      <c r="M60">
        <v>251</v>
      </c>
      <c r="N60">
        <v>1189</v>
      </c>
      <c r="O60">
        <v>1888</v>
      </c>
      <c r="P60" s="3" t="str" cm="1">
        <f t="array" ref="P60">_xlfn.XLOOKUP(A60&amp;B60,'[1]Daily Sleep'!$A$2:$A$468&amp;'[1]Daily Sleep'!$B$2:$B$468,'[1]Daily Sleep'!$D$2:$D$468,"")</f>
        <v/>
      </c>
    </row>
    <row r="61" spans="1:16" x14ac:dyDescent="0.35">
      <c r="A61">
        <v>1844505072</v>
      </c>
      <c r="B61" s="1">
        <v>42472</v>
      </c>
      <c r="C61">
        <v>0</v>
      </c>
      <c r="D61">
        <v>0</v>
      </c>
      <c r="E61">
        <v>0</v>
      </c>
      <c r="F61">
        <v>0</v>
      </c>
      <c r="G61">
        <v>0</v>
      </c>
      <c r="H61">
        <v>0</v>
      </c>
      <c r="I61">
        <v>0</v>
      </c>
      <c r="J61">
        <v>0</v>
      </c>
      <c r="K61">
        <v>0</v>
      </c>
      <c r="L61">
        <v>0</v>
      </c>
      <c r="M61">
        <v>0</v>
      </c>
      <c r="N61">
        <v>426</v>
      </c>
      <c r="O61">
        <v>399</v>
      </c>
      <c r="P61" s="3" t="str" cm="1">
        <f t="array" ref="P61">_xlfn.XLOOKUP(A61&amp;B61,'[1]Daily Sleep'!$A$2:$A$468&amp;'[1]Daily Sleep'!$B$2:$B$468,'[1]Daily Sleep'!$D$2:$D$468,"")</f>
        <v/>
      </c>
    </row>
    <row r="62" spans="1:16" x14ac:dyDescent="0.35">
      <c r="A62">
        <v>1927972279</v>
      </c>
      <c r="B62" s="1">
        <v>42461</v>
      </c>
      <c r="C62">
        <v>4317</v>
      </c>
      <c r="D62">
        <v>2.9900000095367401</v>
      </c>
      <c r="E62">
        <v>2.9900000095367401</v>
      </c>
      <c r="F62">
        <v>0</v>
      </c>
      <c r="G62">
        <v>0</v>
      </c>
      <c r="H62">
        <v>0.37000000476837203</v>
      </c>
      <c r="I62">
        <v>2.6199998855590798</v>
      </c>
      <c r="J62">
        <v>0</v>
      </c>
      <c r="K62">
        <v>0</v>
      </c>
      <c r="L62">
        <v>11</v>
      </c>
      <c r="M62">
        <v>192</v>
      </c>
      <c r="N62">
        <v>854</v>
      </c>
      <c r="O62">
        <v>2590</v>
      </c>
      <c r="P62" s="3" cm="1">
        <f t="array" ref="P62">_xlfn.XLOOKUP(A62&amp;B62,'[1]Daily Sleep'!$A$2:$A$468&amp;'[1]Daily Sleep'!$B$2:$B$468,'[1]Daily Sleep'!$D$2:$D$468,"")</f>
        <v>6.15</v>
      </c>
    </row>
    <row r="63" spans="1:16" x14ac:dyDescent="0.35">
      <c r="A63">
        <v>1927972279</v>
      </c>
      <c r="B63" s="1">
        <v>42462</v>
      </c>
      <c r="C63">
        <v>5662</v>
      </c>
      <c r="D63">
        <v>3.9200000762939502</v>
      </c>
      <c r="E63">
        <v>3.9200000762939502</v>
      </c>
      <c r="F63">
        <v>0</v>
      </c>
      <c r="G63">
        <v>0</v>
      </c>
      <c r="H63">
        <v>0</v>
      </c>
      <c r="I63">
        <v>3.9200000762939502</v>
      </c>
      <c r="J63">
        <v>0</v>
      </c>
      <c r="K63">
        <v>0</v>
      </c>
      <c r="L63">
        <v>0</v>
      </c>
      <c r="M63">
        <v>267</v>
      </c>
      <c r="N63">
        <v>858</v>
      </c>
      <c r="O63">
        <v>2783</v>
      </c>
      <c r="P63" s="3" cm="1">
        <f t="array" ref="P63">_xlfn.XLOOKUP(A63&amp;B63,'[1]Daily Sleep'!$A$2:$A$468&amp;'[1]Daily Sleep'!$B$2:$B$468,'[1]Daily Sleep'!$D$2:$D$468,"")</f>
        <v>4.666666666666667</v>
      </c>
    </row>
    <row r="64" spans="1:16" x14ac:dyDescent="0.35">
      <c r="A64">
        <v>1927972279</v>
      </c>
      <c r="B64" s="1">
        <v>42463</v>
      </c>
      <c r="C64">
        <v>3198</v>
      </c>
      <c r="D64">
        <v>2.21000003814697</v>
      </c>
      <c r="E64">
        <v>2.21000003814697</v>
      </c>
      <c r="F64">
        <v>0</v>
      </c>
      <c r="G64">
        <v>0</v>
      </c>
      <c r="H64">
        <v>0</v>
      </c>
      <c r="I64">
        <v>2.21000003814697</v>
      </c>
      <c r="J64">
        <v>0</v>
      </c>
      <c r="K64">
        <v>0</v>
      </c>
      <c r="L64">
        <v>0</v>
      </c>
      <c r="M64">
        <v>146</v>
      </c>
      <c r="N64">
        <v>1183</v>
      </c>
      <c r="O64">
        <v>2449</v>
      </c>
      <c r="P64" s="3" cm="1">
        <f t="array" ref="P64">_xlfn.XLOOKUP(A64&amp;B64,'[1]Daily Sleep'!$A$2:$A$468&amp;'[1]Daily Sleep'!$B$2:$B$468,'[1]Daily Sleep'!$D$2:$D$468,"")</f>
        <v>1.7833333333333334</v>
      </c>
    </row>
    <row r="65" spans="1:16" x14ac:dyDescent="0.35">
      <c r="A65">
        <v>1927972279</v>
      </c>
      <c r="B65" s="1">
        <v>42464</v>
      </c>
      <c r="C65">
        <v>2352</v>
      </c>
      <c r="D65">
        <v>1.62999999523163</v>
      </c>
      <c r="E65">
        <v>1.62999999523163</v>
      </c>
      <c r="F65">
        <v>0</v>
      </c>
      <c r="G65">
        <v>0</v>
      </c>
      <c r="H65">
        <v>0</v>
      </c>
      <c r="I65">
        <v>1.62999999523163</v>
      </c>
      <c r="J65">
        <v>0</v>
      </c>
      <c r="K65">
        <v>0</v>
      </c>
      <c r="L65">
        <v>0</v>
      </c>
      <c r="M65">
        <v>128</v>
      </c>
      <c r="N65">
        <v>829</v>
      </c>
      <c r="O65">
        <v>2380</v>
      </c>
      <c r="P65" s="3" cm="1">
        <f t="array" ref="P65">_xlfn.XLOOKUP(A65&amp;B65,'[1]Daily Sleep'!$A$2:$A$468&amp;'[1]Daily Sleep'!$B$2:$B$468,'[1]Daily Sleep'!$D$2:$D$468,"")</f>
        <v>7.75</v>
      </c>
    </row>
    <row r="66" spans="1:16" x14ac:dyDescent="0.35">
      <c r="A66">
        <v>1927972279</v>
      </c>
      <c r="B66" s="1">
        <v>42465</v>
      </c>
      <c r="C66">
        <v>2234</v>
      </c>
      <c r="D66">
        <v>1.54999995231628</v>
      </c>
      <c r="E66">
        <v>1.54999995231628</v>
      </c>
      <c r="F66">
        <v>0</v>
      </c>
      <c r="G66">
        <v>0</v>
      </c>
      <c r="H66">
        <v>0</v>
      </c>
      <c r="I66">
        <v>1.54999995231628</v>
      </c>
      <c r="J66">
        <v>0</v>
      </c>
      <c r="K66">
        <v>0</v>
      </c>
      <c r="L66">
        <v>0</v>
      </c>
      <c r="M66">
        <v>108</v>
      </c>
      <c r="N66">
        <v>912</v>
      </c>
      <c r="O66">
        <v>2344</v>
      </c>
      <c r="P66" s="3" cm="1">
        <f t="array" ref="P66">_xlfn.XLOOKUP(A66&amp;B66,'[1]Daily Sleep'!$A$2:$A$468&amp;'[1]Daily Sleep'!$B$2:$B$468,'[1]Daily Sleep'!$D$2:$D$468,"")</f>
        <v>6.55</v>
      </c>
    </row>
    <row r="67" spans="1:16" x14ac:dyDescent="0.35">
      <c r="A67">
        <v>1927972279</v>
      </c>
      <c r="B67" s="1">
        <v>42466</v>
      </c>
      <c r="C67">
        <v>1259</v>
      </c>
      <c r="D67">
        <v>0.87000000476837203</v>
      </c>
      <c r="E67">
        <v>0.87000000476837203</v>
      </c>
      <c r="F67">
        <v>0</v>
      </c>
      <c r="G67">
        <v>0</v>
      </c>
      <c r="H67">
        <v>0</v>
      </c>
      <c r="I67">
        <v>0.87000000476837203</v>
      </c>
      <c r="J67">
        <v>0</v>
      </c>
      <c r="K67">
        <v>0</v>
      </c>
      <c r="L67">
        <v>0</v>
      </c>
      <c r="M67">
        <v>73</v>
      </c>
      <c r="N67">
        <v>938</v>
      </c>
      <c r="O67">
        <v>2202</v>
      </c>
      <c r="P67" s="3" cm="1">
        <f t="array" ref="P67">_xlfn.XLOOKUP(A67&amp;B67,'[1]Daily Sleep'!$A$2:$A$468&amp;'[1]Daily Sleep'!$B$2:$B$468,'[1]Daily Sleep'!$D$2:$D$468,"")</f>
        <v>6.9</v>
      </c>
    </row>
    <row r="68" spans="1:16" x14ac:dyDescent="0.35">
      <c r="A68">
        <v>1927972279</v>
      </c>
      <c r="B68" s="1">
        <v>42467</v>
      </c>
      <c r="C68">
        <v>768</v>
      </c>
      <c r="D68">
        <v>0.52999997138977095</v>
      </c>
      <c r="E68">
        <v>0.52999997138977095</v>
      </c>
      <c r="F68">
        <v>0</v>
      </c>
      <c r="G68">
        <v>0</v>
      </c>
      <c r="H68">
        <v>0</v>
      </c>
      <c r="I68">
        <v>0.52999997138977095</v>
      </c>
      <c r="J68">
        <v>0</v>
      </c>
      <c r="K68">
        <v>0</v>
      </c>
      <c r="L68">
        <v>0</v>
      </c>
      <c r="M68">
        <v>43</v>
      </c>
      <c r="N68">
        <v>1397</v>
      </c>
      <c r="O68">
        <v>2130</v>
      </c>
      <c r="P68" s="3" t="str" cm="1">
        <f t="array" ref="P68">_xlfn.XLOOKUP(A68&amp;B68,'[1]Daily Sleep'!$A$2:$A$468&amp;'[1]Daily Sleep'!$B$2:$B$468,'[1]Daily Sleep'!$D$2:$D$468,"")</f>
        <v/>
      </c>
    </row>
    <row r="69" spans="1:16" x14ac:dyDescent="0.35">
      <c r="A69">
        <v>1927972279</v>
      </c>
      <c r="B69" s="1">
        <v>42468</v>
      </c>
      <c r="C69">
        <v>519</v>
      </c>
      <c r="D69">
        <v>0.36000001430511502</v>
      </c>
      <c r="E69">
        <v>0.36000001430511502</v>
      </c>
      <c r="F69">
        <v>0</v>
      </c>
      <c r="G69">
        <v>0</v>
      </c>
      <c r="H69">
        <v>0</v>
      </c>
      <c r="I69">
        <v>0.36000001430511502</v>
      </c>
      <c r="J69">
        <v>0</v>
      </c>
      <c r="K69">
        <v>0</v>
      </c>
      <c r="L69">
        <v>0</v>
      </c>
      <c r="M69">
        <v>34</v>
      </c>
      <c r="N69">
        <v>1406</v>
      </c>
      <c r="O69">
        <v>2088</v>
      </c>
      <c r="P69" s="3" t="str" cm="1">
        <f t="array" ref="P69">_xlfn.XLOOKUP(A69&amp;B69,'[1]Daily Sleep'!$A$2:$A$468&amp;'[1]Daily Sleep'!$B$2:$B$468,'[1]Daily Sleep'!$D$2:$D$468,"")</f>
        <v/>
      </c>
    </row>
    <row r="70" spans="1:16" x14ac:dyDescent="0.35">
      <c r="A70">
        <v>1927972279</v>
      </c>
      <c r="B70" s="1">
        <v>42469</v>
      </c>
      <c r="C70">
        <v>2523</v>
      </c>
      <c r="D70">
        <v>1.75</v>
      </c>
      <c r="E70">
        <v>1.75</v>
      </c>
      <c r="F70">
        <v>0</v>
      </c>
      <c r="G70">
        <v>0</v>
      </c>
      <c r="H70">
        <v>0.37000000476837203</v>
      </c>
      <c r="I70">
        <v>1.37999999523163</v>
      </c>
      <c r="J70">
        <v>0</v>
      </c>
      <c r="K70">
        <v>0</v>
      </c>
      <c r="L70">
        <v>9</v>
      </c>
      <c r="M70">
        <v>134</v>
      </c>
      <c r="N70">
        <v>1250</v>
      </c>
      <c r="O70">
        <v>2443</v>
      </c>
      <c r="P70" s="3" cm="1">
        <f t="array" ref="P70">_xlfn.XLOOKUP(A70&amp;B70,'[1]Daily Sleep'!$A$2:$A$468&amp;'[1]Daily Sleep'!$B$2:$B$468,'[1]Daily Sleep'!$D$2:$D$468,"")</f>
        <v>0.65</v>
      </c>
    </row>
    <row r="71" spans="1:16" x14ac:dyDescent="0.35">
      <c r="A71">
        <v>1927972279</v>
      </c>
      <c r="B71" s="1">
        <v>42470</v>
      </c>
      <c r="C71">
        <v>2105</v>
      </c>
      <c r="D71">
        <v>1.46000003814697</v>
      </c>
      <c r="E71">
        <v>1.46000003814697</v>
      </c>
      <c r="F71">
        <v>0</v>
      </c>
      <c r="G71">
        <v>0</v>
      </c>
      <c r="H71">
        <v>0</v>
      </c>
      <c r="I71">
        <v>1.46000003814697</v>
      </c>
      <c r="J71">
        <v>0</v>
      </c>
      <c r="K71">
        <v>0</v>
      </c>
      <c r="L71">
        <v>0</v>
      </c>
      <c r="M71">
        <v>139</v>
      </c>
      <c r="N71">
        <v>805</v>
      </c>
      <c r="O71">
        <v>2442</v>
      </c>
      <c r="P71" s="3" cm="1">
        <f t="array" ref="P71">_xlfn.XLOOKUP(A71&amp;B71,'[1]Daily Sleep'!$A$2:$A$468&amp;'[1]Daily Sleep'!$B$2:$B$468,'[1]Daily Sleep'!$D$2:$D$468,"")</f>
        <v>7.9833333333333334</v>
      </c>
    </row>
    <row r="72" spans="1:16" x14ac:dyDescent="0.35">
      <c r="A72">
        <v>1927972279</v>
      </c>
      <c r="B72" s="1">
        <v>42471</v>
      </c>
      <c r="C72">
        <v>1209</v>
      </c>
      <c r="D72">
        <v>0.83999997377395597</v>
      </c>
      <c r="E72">
        <v>0.83999997377395597</v>
      </c>
      <c r="F72">
        <v>0</v>
      </c>
      <c r="G72">
        <v>0</v>
      </c>
      <c r="H72">
        <v>0</v>
      </c>
      <c r="I72">
        <v>0.83999997377395597</v>
      </c>
      <c r="J72">
        <v>0</v>
      </c>
      <c r="K72">
        <v>0</v>
      </c>
      <c r="L72">
        <v>0</v>
      </c>
      <c r="M72">
        <v>73</v>
      </c>
      <c r="N72">
        <v>842</v>
      </c>
      <c r="O72">
        <v>2255</v>
      </c>
      <c r="P72" s="3" cm="1">
        <f t="array" ref="P72">_xlfn.XLOOKUP(A72&amp;B72,'[1]Daily Sleep'!$A$2:$A$468&amp;'[1]Daily Sleep'!$B$2:$B$468,'[1]Daily Sleep'!$D$2:$D$468,"")</f>
        <v>8.2666666666666675</v>
      </c>
    </row>
    <row r="73" spans="1:16" x14ac:dyDescent="0.35">
      <c r="A73">
        <v>1927972279</v>
      </c>
      <c r="B73" s="1">
        <v>42472</v>
      </c>
      <c r="C73">
        <v>24</v>
      </c>
      <c r="D73">
        <v>1.9999999552965199E-2</v>
      </c>
      <c r="E73">
        <v>1.9999999552965199E-2</v>
      </c>
      <c r="F73">
        <v>0</v>
      </c>
      <c r="G73">
        <v>0</v>
      </c>
      <c r="H73">
        <v>0</v>
      </c>
      <c r="I73">
        <v>1.9999999552965199E-2</v>
      </c>
      <c r="J73">
        <v>0</v>
      </c>
      <c r="K73">
        <v>0</v>
      </c>
      <c r="L73">
        <v>0</v>
      </c>
      <c r="M73">
        <v>3</v>
      </c>
      <c r="N73">
        <v>161</v>
      </c>
      <c r="O73">
        <v>942</v>
      </c>
      <c r="P73" s="3" cm="1">
        <f t="array" ref="P73">_xlfn.XLOOKUP(A73&amp;B73,'[1]Daily Sleep'!$A$2:$A$468&amp;'[1]Daily Sleep'!$B$2:$B$468,'[1]Daily Sleep'!$D$2:$D$468,"")</f>
        <v>8.0333333333333332</v>
      </c>
    </row>
    <row r="74" spans="1:16" x14ac:dyDescent="0.35">
      <c r="A74">
        <v>2022484408</v>
      </c>
      <c r="B74" s="1">
        <v>42461</v>
      </c>
      <c r="C74">
        <v>13603</v>
      </c>
      <c r="D74">
        <v>9.6000003814697301</v>
      </c>
      <c r="E74">
        <v>9.6000003814697301</v>
      </c>
      <c r="F74">
        <v>0</v>
      </c>
      <c r="G74">
        <v>5.46000003814697</v>
      </c>
      <c r="H74">
        <v>0.62999999523162797</v>
      </c>
      <c r="I74">
        <v>3.5099999904632599</v>
      </c>
      <c r="J74">
        <v>0</v>
      </c>
      <c r="K74">
        <v>72</v>
      </c>
      <c r="L74">
        <v>16</v>
      </c>
      <c r="M74">
        <v>213</v>
      </c>
      <c r="N74">
        <v>1139</v>
      </c>
      <c r="O74">
        <v>2645</v>
      </c>
      <c r="P74" s="3" t="str" cm="1">
        <f t="array" ref="P74">_xlfn.XLOOKUP(A74&amp;B74,'[1]Daily Sleep'!$A$2:$A$468&amp;'[1]Daily Sleep'!$B$2:$B$468,'[1]Daily Sleep'!$D$2:$D$468,"")</f>
        <v/>
      </c>
    </row>
    <row r="75" spans="1:16" x14ac:dyDescent="0.35">
      <c r="A75">
        <v>2022484408</v>
      </c>
      <c r="B75" s="1">
        <v>42462</v>
      </c>
      <c r="C75">
        <v>5477</v>
      </c>
      <c r="D75">
        <v>3.8399999141693102</v>
      </c>
      <c r="E75">
        <v>3.8399999141693102</v>
      </c>
      <c r="F75">
        <v>0</v>
      </c>
      <c r="G75">
        <v>0</v>
      </c>
      <c r="H75">
        <v>0</v>
      </c>
      <c r="I75">
        <v>3.8399999141693102</v>
      </c>
      <c r="J75">
        <v>0</v>
      </c>
      <c r="K75">
        <v>0</v>
      </c>
      <c r="L75">
        <v>0</v>
      </c>
      <c r="M75">
        <v>237</v>
      </c>
      <c r="N75">
        <v>1203</v>
      </c>
      <c r="O75">
        <v>2040</v>
      </c>
      <c r="P75" s="3" t="str" cm="1">
        <f t="array" ref="P75">_xlfn.XLOOKUP(A75&amp;B75,'[1]Daily Sleep'!$A$2:$A$468&amp;'[1]Daily Sleep'!$B$2:$B$468,'[1]Daily Sleep'!$D$2:$D$468,"")</f>
        <v/>
      </c>
    </row>
    <row r="76" spans="1:16" x14ac:dyDescent="0.35">
      <c r="A76">
        <v>2022484408</v>
      </c>
      <c r="B76" s="1">
        <v>42463</v>
      </c>
      <c r="C76">
        <v>11144</v>
      </c>
      <c r="D76">
        <v>7.8200001716613796</v>
      </c>
      <c r="E76">
        <v>7.8200001716613796</v>
      </c>
      <c r="F76">
        <v>0</v>
      </c>
      <c r="G76">
        <v>1.78999996185303</v>
      </c>
      <c r="H76">
        <v>0.88999998569488503</v>
      </c>
      <c r="I76">
        <v>5.1399998664856001</v>
      </c>
      <c r="J76">
        <v>0</v>
      </c>
      <c r="K76">
        <v>25</v>
      </c>
      <c r="L76">
        <v>22</v>
      </c>
      <c r="M76">
        <v>279</v>
      </c>
      <c r="N76">
        <v>1114</v>
      </c>
      <c r="O76">
        <v>2395</v>
      </c>
      <c r="P76" s="3" t="str" cm="1">
        <f t="array" ref="P76">_xlfn.XLOOKUP(A76&amp;B76,'[1]Daily Sleep'!$A$2:$A$468&amp;'[1]Daily Sleep'!$B$2:$B$468,'[1]Daily Sleep'!$D$2:$D$468,"")</f>
        <v/>
      </c>
    </row>
    <row r="77" spans="1:16" x14ac:dyDescent="0.35">
      <c r="A77">
        <v>2022484408</v>
      </c>
      <c r="B77" s="1">
        <v>42464</v>
      </c>
      <c r="C77">
        <v>15313</v>
      </c>
      <c r="D77">
        <v>11</v>
      </c>
      <c r="E77">
        <v>11</v>
      </c>
      <c r="F77">
        <v>0</v>
      </c>
      <c r="G77">
        <v>5.0199999809265101</v>
      </c>
      <c r="H77">
        <v>1.28999996185303</v>
      </c>
      <c r="I77">
        <v>4.6900000572204599</v>
      </c>
      <c r="J77">
        <v>0</v>
      </c>
      <c r="K77">
        <v>62</v>
      </c>
      <c r="L77">
        <v>19</v>
      </c>
      <c r="M77">
        <v>233</v>
      </c>
      <c r="N77">
        <v>1126</v>
      </c>
      <c r="O77">
        <v>2581</v>
      </c>
      <c r="P77" s="3" t="str" cm="1">
        <f t="array" ref="P77">_xlfn.XLOOKUP(A77&amp;B77,'[1]Daily Sleep'!$A$2:$A$468&amp;'[1]Daily Sleep'!$B$2:$B$468,'[1]Daily Sleep'!$D$2:$D$468,"")</f>
        <v/>
      </c>
    </row>
    <row r="78" spans="1:16" x14ac:dyDescent="0.35">
      <c r="A78">
        <v>2022484408</v>
      </c>
      <c r="B78" s="1">
        <v>42465</v>
      </c>
      <c r="C78">
        <v>10805</v>
      </c>
      <c r="D78">
        <v>7.5900001525878897</v>
      </c>
      <c r="E78">
        <v>7.5900001525878897</v>
      </c>
      <c r="F78">
        <v>0</v>
      </c>
      <c r="G78">
        <v>0.72000002861022905</v>
      </c>
      <c r="H78">
        <v>0.980000019073486</v>
      </c>
      <c r="I78">
        <v>5.8899998664856001</v>
      </c>
      <c r="J78">
        <v>0</v>
      </c>
      <c r="K78">
        <v>36</v>
      </c>
      <c r="L78">
        <v>37</v>
      </c>
      <c r="M78">
        <v>298</v>
      </c>
      <c r="N78">
        <v>1069</v>
      </c>
      <c r="O78">
        <v>2735</v>
      </c>
      <c r="P78" s="3" t="str" cm="1">
        <f t="array" ref="P78">_xlfn.XLOOKUP(A78&amp;B78,'[1]Daily Sleep'!$A$2:$A$468&amp;'[1]Daily Sleep'!$B$2:$B$468,'[1]Daily Sleep'!$D$2:$D$468,"")</f>
        <v/>
      </c>
    </row>
    <row r="79" spans="1:16" x14ac:dyDescent="0.35">
      <c r="A79">
        <v>2022484408</v>
      </c>
      <c r="B79" s="1">
        <v>42466</v>
      </c>
      <c r="C79">
        <v>15392</v>
      </c>
      <c r="D79">
        <v>10.930000305175801</v>
      </c>
      <c r="E79">
        <v>10.930000305175801</v>
      </c>
      <c r="F79">
        <v>0</v>
      </c>
      <c r="G79">
        <v>3.4300000667571999</v>
      </c>
      <c r="H79">
        <v>1.75</v>
      </c>
      <c r="I79">
        <v>5.75</v>
      </c>
      <c r="J79">
        <v>0</v>
      </c>
      <c r="K79">
        <v>47</v>
      </c>
      <c r="L79">
        <v>42</v>
      </c>
      <c r="M79">
        <v>258</v>
      </c>
      <c r="N79">
        <v>1093</v>
      </c>
      <c r="O79">
        <v>2733</v>
      </c>
      <c r="P79" s="3" t="str" cm="1">
        <f t="array" ref="P79">_xlfn.XLOOKUP(A79&amp;B79,'[1]Daily Sleep'!$A$2:$A$468&amp;'[1]Daily Sleep'!$B$2:$B$468,'[1]Daily Sleep'!$D$2:$D$468,"")</f>
        <v/>
      </c>
    </row>
    <row r="80" spans="1:16" x14ac:dyDescent="0.35">
      <c r="A80">
        <v>2022484408</v>
      </c>
      <c r="B80" s="1">
        <v>42467</v>
      </c>
      <c r="C80">
        <v>18247</v>
      </c>
      <c r="D80">
        <v>13.829999923706101</v>
      </c>
      <c r="E80">
        <v>13.829999923706101</v>
      </c>
      <c r="F80">
        <v>0</v>
      </c>
      <c r="G80">
        <v>7.1100001335143999</v>
      </c>
      <c r="H80">
        <v>2.21000003814697</v>
      </c>
      <c r="I80">
        <v>4.5100002288818404</v>
      </c>
      <c r="J80">
        <v>0</v>
      </c>
      <c r="K80">
        <v>72</v>
      </c>
      <c r="L80">
        <v>62</v>
      </c>
      <c r="M80">
        <v>252</v>
      </c>
      <c r="N80">
        <v>1054</v>
      </c>
      <c r="O80">
        <v>3021</v>
      </c>
      <c r="P80" s="3" t="str" cm="1">
        <f t="array" ref="P80">_xlfn.XLOOKUP(A80&amp;B80,'[1]Daily Sleep'!$A$2:$A$468&amp;'[1]Daily Sleep'!$B$2:$B$468,'[1]Daily Sleep'!$D$2:$D$468,"")</f>
        <v/>
      </c>
    </row>
    <row r="81" spans="1:16" x14ac:dyDescent="0.35">
      <c r="A81">
        <v>2022484408</v>
      </c>
      <c r="B81" s="1">
        <v>42468</v>
      </c>
      <c r="C81">
        <v>13023</v>
      </c>
      <c r="D81">
        <v>9.2600002288818395</v>
      </c>
      <c r="E81">
        <v>9.2600002288818395</v>
      </c>
      <c r="F81">
        <v>0</v>
      </c>
      <c r="G81">
        <v>3.2300000190734899</v>
      </c>
      <c r="H81">
        <v>0.56000000238418601</v>
      </c>
      <c r="I81">
        <v>5.4699997901916504</v>
      </c>
      <c r="J81">
        <v>0</v>
      </c>
      <c r="K81">
        <v>40</v>
      </c>
      <c r="L81">
        <v>12</v>
      </c>
      <c r="M81">
        <v>296</v>
      </c>
      <c r="N81">
        <v>1092</v>
      </c>
      <c r="O81">
        <v>2577</v>
      </c>
      <c r="P81" s="3" t="str" cm="1">
        <f t="array" ref="P81">_xlfn.XLOOKUP(A81&amp;B81,'[1]Daily Sleep'!$A$2:$A$468&amp;'[1]Daily Sleep'!$B$2:$B$468,'[1]Daily Sleep'!$D$2:$D$468,"")</f>
        <v/>
      </c>
    </row>
    <row r="82" spans="1:16" x14ac:dyDescent="0.35">
      <c r="A82">
        <v>2022484408</v>
      </c>
      <c r="B82" s="1">
        <v>42469</v>
      </c>
      <c r="C82">
        <v>16267</v>
      </c>
      <c r="D82">
        <v>12.5900001525879</v>
      </c>
      <c r="E82">
        <v>12.5900001525879</v>
      </c>
      <c r="F82">
        <v>0</v>
      </c>
      <c r="G82">
        <v>5.75</v>
      </c>
      <c r="H82">
        <v>0.46999999880790699</v>
      </c>
      <c r="I82">
        <v>6.3699998855590803</v>
      </c>
      <c r="J82">
        <v>0</v>
      </c>
      <c r="K82">
        <v>44</v>
      </c>
      <c r="L82">
        <v>16</v>
      </c>
      <c r="M82">
        <v>302</v>
      </c>
      <c r="N82">
        <v>1078</v>
      </c>
      <c r="O82">
        <v>2811</v>
      </c>
      <c r="P82" s="3" t="str" cm="1">
        <f t="array" ref="P82">_xlfn.XLOOKUP(A82&amp;B82,'[1]Daily Sleep'!$A$2:$A$468&amp;'[1]Daily Sleep'!$B$2:$B$468,'[1]Daily Sleep'!$D$2:$D$468,"")</f>
        <v/>
      </c>
    </row>
    <row r="83" spans="1:16" x14ac:dyDescent="0.35">
      <c r="A83">
        <v>2022484408</v>
      </c>
      <c r="B83" s="1">
        <v>42470</v>
      </c>
      <c r="C83">
        <v>10005</v>
      </c>
      <c r="D83">
        <v>7.0199999809265101</v>
      </c>
      <c r="E83">
        <v>7.0199999809265101</v>
      </c>
      <c r="F83">
        <v>0</v>
      </c>
      <c r="G83">
        <v>7.9999998211860698E-2</v>
      </c>
      <c r="H83">
        <v>1.04999995231628</v>
      </c>
      <c r="I83">
        <v>5.9000000953674299</v>
      </c>
      <c r="J83">
        <v>0</v>
      </c>
      <c r="K83">
        <v>1</v>
      </c>
      <c r="L83">
        <v>23</v>
      </c>
      <c r="M83">
        <v>339</v>
      </c>
      <c r="N83">
        <v>1077</v>
      </c>
      <c r="O83">
        <v>2458</v>
      </c>
      <c r="P83" s="3" t="str" cm="1">
        <f t="array" ref="P83">_xlfn.XLOOKUP(A83&amp;B83,'[1]Daily Sleep'!$A$2:$A$468&amp;'[1]Daily Sleep'!$B$2:$B$468,'[1]Daily Sleep'!$D$2:$D$468,"")</f>
        <v/>
      </c>
    </row>
    <row r="84" spans="1:16" x14ac:dyDescent="0.35">
      <c r="A84">
        <v>2022484408</v>
      </c>
      <c r="B84" s="1">
        <v>42471</v>
      </c>
      <c r="C84">
        <v>10106</v>
      </c>
      <c r="D84">
        <v>7.0900001525878897</v>
      </c>
      <c r="E84">
        <v>7.0900001525878897</v>
      </c>
      <c r="F84">
        <v>0</v>
      </c>
      <c r="G84">
        <v>1.21000003814697</v>
      </c>
      <c r="H84">
        <v>0.56000000238418601</v>
      </c>
      <c r="I84">
        <v>5.3299999237060502</v>
      </c>
      <c r="J84">
        <v>0</v>
      </c>
      <c r="K84">
        <v>41</v>
      </c>
      <c r="L84">
        <v>16</v>
      </c>
      <c r="M84">
        <v>272</v>
      </c>
      <c r="N84">
        <v>1111</v>
      </c>
      <c r="O84">
        <v>2568</v>
      </c>
      <c r="P84" s="3" t="str" cm="1">
        <f t="array" ref="P84">_xlfn.XLOOKUP(A84&amp;B84,'[1]Daily Sleep'!$A$2:$A$468&amp;'[1]Daily Sleep'!$B$2:$B$468,'[1]Daily Sleep'!$D$2:$D$468,"")</f>
        <v/>
      </c>
    </row>
    <row r="85" spans="1:16" x14ac:dyDescent="0.35">
      <c r="A85">
        <v>2022484408</v>
      </c>
      <c r="B85" s="1">
        <v>42472</v>
      </c>
      <c r="C85">
        <v>6717</v>
      </c>
      <c r="D85">
        <v>4.7199997901916504</v>
      </c>
      <c r="E85">
        <v>4.7199997901916504</v>
      </c>
      <c r="F85">
        <v>0</v>
      </c>
      <c r="G85">
        <v>3.2300000190734899</v>
      </c>
      <c r="H85">
        <v>0.21999999880790699</v>
      </c>
      <c r="I85">
        <v>1.2699999809265099</v>
      </c>
      <c r="J85">
        <v>0</v>
      </c>
      <c r="K85">
        <v>41</v>
      </c>
      <c r="L85">
        <v>5</v>
      </c>
      <c r="M85">
        <v>67</v>
      </c>
      <c r="N85">
        <v>551</v>
      </c>
      <c r="O85">
        <v>1140</v>
      </c>
      <c r="P85" s="3" t="str" cm="1">
        <f t="array" ref="P85">_xlfn.XLOOKUP(A85&amp;B85,'[1]Daily Sleep'!$A$2:$A$468&amp;'[1]Daily Sleep'!$B$2:$B$468,'[1]Daily Sleep'!$D$2:$D$468,"")</f>
        <v/>
      </c>
    </row>
    <row r="86" spans="1:16" x14ac:dyDescent="0.35">
      <c r="A86">
        <v>2026352035</v>
      </c>
      <c r="B86" s="1">
        <v>42461</v>
      </c>
      <c r="C86">
        <v>2605</v>
      </c>
      <c r="D86">
        <v>1.62000000476837</v>
      </c>
      <c r="E86">
        <v>1.62000000476837</v>
      </c>
      <c r="F86">
        <v>0</v>
      </c>
      <c r="G86">
        <v>0</v>
      </c>
      <c r="H86">
        <v>0</v>
      </c>
      <c r="I86">
        <v>1.62000000476837</v>
      </c>
      <c r="J86">
        <v>0</v>
      </c>
      <c r="K86">
        <v>0</v>
      </c>
      <c r="L86">
        <v>0</v>
      </c>
      <c r="M86">
        <v>166</v>
      </c>
      <c r="N86">
        <v>729</v>
      </c>
      <c r="O86">
        <v>1407</v>
      </c>
      <c r="P86" s="3" cm="1">
        <f t="array" ref="P86">_xlfn.XLOOKUP(A86&amp;B86,'[1]Daily Sleep'!$A$2:$A$468&amp;'[1]Daily Sleep'!$B$2:$B$468,'[1]Daily Sleep'!$D$2:$D$468,"")</f>
        <v>8.5666666666666664</v>
      </c>
    </row>
    <row r="87" spans="1:16" x14ac:dyDescent="0.35">
      <c r="A87">
        <v>2026352035</v>
      </c>
      <c r="B87" s="1">
        <v>42462</v>
      </c>
      <c r="C87">
        <v>1229</v>
      </c>
      <c r="D87">
        <v>0.75999999046325695</v>
      </c>
      <c r="E87">
        <v>0.75999999046325695</v>
      </c>
      <c r="F87">
        <v>0</v>
      </c>
      <c r="G87">
        <v>0</v>
      </c>
      <c r="H87">
        <v>0</v>
      </c>
      <c r="I87">
        <v>0.75999999046325695</v>
      </c>
      <c r="J87">
        <v>0</v>
      </c>
      <c r="K87">
        <v>0</v>
      </c>
      <c r="L87">
        <v>0</v>
      </c>
      <c r="M87">
        <v>69</v>
      </c>
      <c r="N87">
        <v>795</v>
      </c>
      <c r="O87">
        <v>1237</v>
      </c>
      <c r="P87" s="3" cm="1">
        <f t="array" ref="P87">_xlfn.XLOOKUP(A87&amp;B87,'[1]Daily Sleep'!$A$2:$A$468&amp;'[1]Daily Sleep'!$B$2:$B$468,'[1]Daily Sleep'!$D$2:$D$468,"")</f>
        <v>8.8000000000000007</v>
      </c>
    </row>
    <row r="88" spans="1:16" x14ac:dyDescent="0.35">
      <c r="A88">
        <v>2026352035</v>
      </c>
      <c r="B88" s="1">
        <v>42463</v>
      </c>
      <c r="C88">
        <v>2308</v>
      </c>
      <c r="D88">
        <v>1.4299999475479099</v>
      </c>
      <c r="E88">
        <v>1.4299999475479099</v>
      </c>
      <c r="F88">
        <v>0</v>
      </c>
      <c r="G88">
        <v>0</v>
      </c>
      <c r="H88">
        <v>0</v>
      </c>
      <c r="I88">
        <v>1.4299999475479099</v>
      </c>
      <c r="J88">
        <v>0</v>
      </c>
      <c r="K88">
        <v>0</v>
      </c>
      <c r="L88">
        <v>0</v>
      </c>
      <c r="M88">
        <v>115</v>
      </c>
      <c r="N88">
        <v>720</v>
      </c>
      <c r="O88">
        <v>1330</v>
      </c>
      <c r="P88" s="3" cm="1">
        <f t="array" ref="P88">_xlfn.XLOOKUP(A88&amp;B88,'[1]Daily Sleep'!$A$2:$A$468&amp;'[1]Daily Sleep'!$B$2:$B$468,'[1]Daily Sleep'!$D$2:$D$468,"")</f>
        <v>8.9</v>
      </c>
    </row>
    <row r="89" spans="1:16" x14ac:dyDescent="0.35">
      <c r="A89">
        <v>2026352035</v>
      </c>
      <c r="B89" s="1">
        <v>42464</v>
      </c>
      <c r="C89">
        <v>6679</v>
      </c>
      <c r="D89">
        <v>4.1399998664856001</v>
      </c>
      <c r="E89">
        <v>4.1399998664856001</v>
      </c>
      <c r="F89">
        <v>0</v>
      </c>
      <c r="G89">
        <v>0</v>
      </c>
      <c r="H89">
        <v>0</v>
      </c>
      <c r="I89">
        <v>4.1399998664856001</v>
      </c>
      <c r="J89">
        <v>0</v>
      </c>
      <c r="K89">
        <v>0</v>
      </c>
      <c r="L89">
        <v>0</v>
      </c>
      <c r="M89">
        <v>263</v>
      </c>
      <c r="N89">
        <v>644</v>
      </c>
      <c r="O89">
        <v>1583</v>
      </c>
      <c r="P89" s="3" cm="1">
        <f t="array" ref="P89">_xlfn.XLOOKUP(A89&amp;B89,'[1]Daily Sleep'!$A$2:$A$468&amp;'[1]Daily Sleep'!$B$2:$B$468,'[1]Daily Sleep'!$D$2:$D$468,"")</f>
        <v>8.2166666666666668</v>
      </c>
    </row>
    <row r="90" spans="1:16" x14ac:dyDescent="0.35">
      <c r="A90">
        <v>2026352035</v>
      </c>
      <c r="B90" s="1">
        <v>42465</v>
      </c>
      <c r="C90">
        <v>5645</v>
      </c>
      <c r="D90">
        <v>3.5</v>
      </c>
      <c r="E90">
        <v>3.5</v>
      </c>
      <c r="F90">
        <v>0</v>
      </c>
      <c r="G90">
        <v>0</v>
      </c>
      <c r="H90">
        <v>0</v>
      </c>
      <c r="I90">
        <v>3.5</v>
      </c>
      <c r="J90">
        <v>0</v>
      </c>
      <c r="K90">
        <v>0</v>
      </c>
      <c r="L90">
        <v>0</v>
      </c>
      <c r="M90">
        <v>248</v>
      </c>
      <c r="N90">
        <v>621</v>
      </c>
      <c r="O90">
        <v>1538</v>
      </c>
      <c r="P90" s="3" cm="1">
        <f t="array" ref="P90">_xlfn.XLOOKUP(A90&amp;B90,'[1]Daily Sleep'!$A$2:$A$468&amp;'[1]Daily Sleep'!$B$2:$B$468,'[1]Daily Sleep'!$D$2:$D$468,"")</f>
        <v>8.85</v>
      </c>
    </row>
    <row r="91" spans="1:16" x14ac:dyDescent="0.35">
      <c r="A91">
        <v>2026352035</v>
      </c>
      <c r="B91" s="1">
        <v>42466</v>
      </c>
      <c r="C91">
        <v>3180</v>
      </c>
      <c r="D91">
        <v>1.9700000286102299</v>
      </c>
      <c r="E91">
        <v>1.9700000286102299</v>
      </c>
      <c r="F91">
        <v>0</v>
      </c>
      <c r="G91">
        <v>0</v>
      </c>
      <c r="H91">
        <v>0</v>
      </c>
      <c r="I91">
        <v>1.9700000286102299</v>
      </c>
      <c r="J91">
        <v>0</v>
      </c>
      <c r="K91">
        <v>0</v>
      </c>
      <c r="L91">
        <v>0</v>
      </c>
      <c r="M91">
        <v>185</v>
      </c>
      <c r="N91">
        <v>738</v>
      </c>
      <c r="O91">
        <v>1421</v>
      </c>
      <c r="P91" s="3" cm="1">
        <f t="array" ref="P91">_xlfn.XLOOKUP(A91&amp;B91,'[1]Daily Sleep'!$A$2:$A$468&amp;'[1]Daily Sleep'!$B$2:$B$468,'[1]Daily Sleep'!$D$2:$D$468,"")</f>
        <v>7.75</v>
      </c>
    </row>
    <row r="92" spans="1:16" x14ac:dyDescent="0.35">
      <c r="A92">
        <v>2026352035</v>
      </c>
      <c r="B92" s="1">
        <v>42467</v>
      </c>
      <c r="C92">
        <v>2767</v>
      </c>
      <c r="D92">
        <v>1.7200000286102299</v>
      </c>
      <c r="E92">
        <v>1.7200000286102299</v>
      </c>
      <c r="F92">
        <v>0</v>
      </c>
      <c r="G92">
        <v>0</v>
      </c>
      <c r="H92">
        <v>0</v>
      </c>
      <c r="I92">
        <v>1.7200000286102299</v>
      </c>
      <c r="J92">
        <v>0</v>
      </c>
      <c r="K92">
        <v>0</v>
      </c>
      <c r="L92">
        <v>0</v>
      </c>
      <c r="M92">
        <v>170</v>
      </c>
      <c r="N92">
        <v>673</v>
      </c>
      <c r="O92">
        <v>1392</v>
      </c>
      <c r="P92" s="3" cm="1">
        <f t="array" ref="P92">_xlfn.XLOOKUP(A92&amp;B92,'[1]Daily Sleep'!$A$2:$A$468&amp;'[1]Daily Sleep'!$B$2:$B$468,'[1]Daily Sleep'!$D$2:$D$468,"")</f>
        <v>9</v>
      </c>
    </row>
    <row r="93" spans="1:16" x14ac:dyDescent="0.35">
      <c r="A93">
        <v>2026352035</v>
      </c>
      <c r="B93" s="1">
        <v>42468</v>
      </c>
      <c r="C93">
        <v>3762</v>
      </c>
      <c r="D93">
        <v>2.3299999237060498</v>
      </c>
      <c r="E93">
        <v>2.3299999237060498</v>
      </c>
      <c r="F93">
        <v>0</v>
      </c>
      <c r="G93">
        <v>0</v>
      </c>
      <c r="H93">
        <v>0</v>
      </c>
      <c r="I93">
        <v>2.3299999237060498</v>
      </c>
      <c r="J93">
        <v>0</v>
      </c>
      <c r="K93">
        <v>0</v>
      </c>
      <c r="L93">
        <v>0</v>
      </c>
      <c r="M93">
        <v>173</v>
      </c>
      <c r="N93">
        <v>719</v>
      </c>
      <c r="O93">
        <v>1425</v>
      </c>
      <c r="P93" s="3" cm="1">
        <f t="array" ref="P93">_xlfn.XLOOKUP(A93&amp;B93,'[1]Daily Sleep'!$A$2:$A$468&amp;'[1]Daily Sleep'!$B$2:$B$468,'[1]Daily Sleep'!$D$2:$D$468,"")</f>
        <v>8.6833333333333336</v>
      </c>
    </row>
    <row r="94" spans="1:16" x14ac:dyDescent="0.35">
      <c r="A94">
        <v>2026352035</v>
      </c>
      <c r="B94" s="1">
        <v>42469</v>
      </c>
      <c r="C94">
        <v>3098</v>
      </c>
      <c r="D94">
        <v>1.91999995708466</v>
      </c>
      <c r="E94">
        <v>1.91999995708466</v>
      </c>
      <c r="F94">
        <v>0</v>
      </c>
      <c r="G94">
        <v>0</v>
      </c>
      <c r="H94">
        <v>0</v>
      </c>
      <c r="I94">
        <v>1.91999995708466</v>
      </c>
      <c r="J94">
        <v>0</v>
      </c>
      <c r="K94">
        <v>0</v>
      </c>
      <c r="L94">
        <v>0</v>
      </c>
      <c r="M94">
        <v>185</v>
      </c>
      <c r="N94">
        <v>700</v>
      </c>
      <c r="O94">
        <v>1413</v>
      </c>
      <c r="P94" s="3" cm="1">
        <f t="array" ref="P94">_xlfn.XLOOKUP(A94&amp;B94,'[1]Daily Sleep'!$A$2:$A$468&amp;'[1]Daily Sleep'!$B$2:$B$468,'[1]Daily Sleep'!$D$2:$D$468,"")</f>
        <v>8.1666666666666661</v>
      </c>
    </row>
    <row r="95" spans="1:16" x14ac:dyDescent="0.35">
      <c r="A95">
        <v>2026352035</v>
      </c>
      <c r="B95" s="1">
        <v>42470</v>
      </c>
      <c r="C95">
        <v>5142</v>
      </c>
      <c r="D95">
        <v>3.1900000572204599</v>
      </c>
      <c r="E95">
        <v>3.1900000572204599</v>
      </c>
      <c r="F95">
        <v>0</v>
      </c>
      <c r="G95">
        <v>0</v>
      </c>
      <c r="H95">
        <v>0</v>
      </c>
      <c r="I95">
        <v>3.1900000572204599</v>
      </c>
      <c r="J95">
        <v>0</v>
      </c>
      <c r="K95">
        <v>0</v>
      </c>
      <c r="L95">
        <v>0</v>
      </c>
      <c r="M95">
        <v>230</v>
      </c>
      <c r="N95">
        <v>654</v>
      </c>
      <c r="O95">
        <v>1515</v>
      </c>
      <c r="P95" s="3" cm="1">
        <f t="array" ref="P95">_xlfn.XLOOKUP(A95&amp;B95,'[1]Daily Sleep'!$A$2:$A$468&amp;'[1]Daily Sleep'!$B$2:$B$468,'[1]Daily Sleep'!$D$2:$D$468,"")</f>
        <v>8.4</v>
      </c>
    </row>
    <row r="96" spans="1:16" x14ac:dyDescent="0.35">
      <c r="A96">
        <v>2026352035</v>
      </c>
      <c r="B96" s="1">
        <v>42471</v>
      </c>
      <c r="C96">
        <v>3279</v>
      </c>
      <c r="D96">
        <v>2.0299999713897701</v>
      </c>
      <c r="E96">
        <v>2.0299999713897701</v>
      </c>
      <c r="F96">
        <v>0</v>
      </c>
      <c r="G96">
        <v>0</v>
      </c>
      <c r="H96">
        <v>0</v>
      </c>
      <c r="I96">
        <v>2.0299999713897701</v>
      </c>
      <c r="J96">
        <v>0</v>
      </c>
      <c r="K96">
        <v>0</v>
      </c>
      <c r="L96">
        <v>0</v>
      </c>
      <c r="M96">
        <v>164</v>
      </c>
      <c r="N96">
        <v>694</v>
      </c>
      <c r="O96">
        <v>1405</v>
      </c>
      <c r="P96" s="3" cm="1">
        <f t="array" ref="P96">_xlfn.XLOOKUP(A96&amp;B96,'[1]Daily Sleep'!$A$2:$A$468&amp;'[1]Daily Sleep'!$B$2:$B$468,'[1]Daily Sleep'!$D$2:$D$468,"")</f>
        <v>9.0166666666666675</v>
      </c>
    </row>
    <row r="97" spans="1:16" x14ac:dyDescent="0.35">
      <c r="A97">
        <v>2026352035</v>
      </c>
      <c r="B97" s="1">
        <v>42472</v>
      </c>
      <c r="C97">
        <v>1019</v>
      </c>
      <c r="D97">
        <v>0.62999999523162797</v>
      </c>
      <c r="E97">
        <v>0.62999999523162797</v>
      </c>
      <c r="F97">
        <v>0</v>
      </c>
      <c r="G97">
        <v>0</v>
      </c>
      <c r="H97">
        <v>0</v>
      </c>
      <c r="I97">
        <v>0.62999999523162797</v>
      </c>
      <c r="J97">
        <v>0</v>
      </c>
      <c r="K97">
        <v>0</v>
      </c>
      <c r="L97">
        <v>0</v>
      </c>
      <c r="M97">
        <v>64</v>
      </c>
      <c r="N97">
        <v>223</v>
      </c>
      <c r="O97">
        <v>600</v>
      </c>
      <c r="P97" s="3" cm="1">
        <f t="array" ref="P97">_xlfn.XLOOKUP(A97&amp;B97,'[1]Daily Sleep'!$A$2:$A$468&amp;'[1]Daily Sleep'!$B$2:$B$468,'[1]Daily Sleep'!$D$2:$D$468,"")</f>
        <v>5.6833333333333336</v>
      </c>
    </row>
    <row r="98" spans="1:16" x14ac:dyDescent="0.35">
      <c r="A98">
        <v>2320127002</v>
      </c>
      <c r="B98" s="1">
        <v>42461</v>
      </c>
      <c r="C98">
        <v>0</v>
      </c>
      <c r="D98">
        <v>0</v>
      </c>
      <c r="E98">
        <v>0</v>
      </c>
      <c r="F98">
        <v>0</v>
      </c>
      <c r="G98">
        <v>0</v>
      </c>
      <c r="H98">
        <v>0</v>
      </c>
      <c r="I98">
        <v>0</v>
      </c>
      <c r="J98">
        <v>0</v>
      </c>
      <c r="K98">
        <v>0</v>
      </c>
      <c r="L98">
        <v>0</v>
      </c>
      <c r="M98">
        <v>0</v>
      </c>
      <c r="N98">
        <v>1440</v>
      </c>
      <c r="O98">
        <v>1324</v>
      </c>
      <c r="P98" s="3" t="str" cm="1">
        <f t="array" ref="P98">_xlfn.XLOOKUP(A98&amp;B98,'[1]Daily Sleep'!$A$2:$A$468&amp;'[1]Daily Sleep'!$B$2:$B$468,'[1]Daily Sleep'!$D$2:$D$468,"")</f>
        <v/>
      </c>
    </row>
    <row r="99" spans="1:16" x14ac:dyDescent="0.35">
      <c r="A99">
        <v>2320127002</v>
      </c>
      <c r="B99" s="1">
        <v>42462</v>
      </c>
      <c r="C99">
        <v>0</v>
      </c>
      <c r="D99">
        <v>0</v>
      </c>
      <c r="E99">
        <v>0</v>
      </c>
      <c r="F99">
        <v>0</v>
      </c>
      <c r="G99">
        <v>0</v>
      </c>
      <c r="H99">
        <v>0</v>
      </c>
      <c r="I99">
        <v>0</v>
      </c>
      <c r="J99">
        <v>0</v>
      </c>
      <c r="K99">
        <v>0</v>
      </c>
      <c r="L99">
        <v>0</v>
      </c>
      <c r="M99">
        <v>0</v>
      </c>
      <c r="N99">
        <v>1440</v>
      </c>
      <c r="O99">
        <v>1324</v>
      </c>
      <c r="P99" s="3" t="str" cm="1">
        <f t="array" ref="P99">_xlfn.XLOOKUP(A99&amp;B99,'[1]Daily Sleep'!$A$2:$A$468&amp;'[1]Daily Sleep'!$B$2:$B$468,'[1]Daily Sleep'!$D$2:$D$468,"")</f>
        <v/>
      </c>
    </row>
    <row r="100" spans="1:16" x14ac:dyDescent="0.35">
      <c r="A100">
        <v>2320127002</v>
      </c>
      <c r="B100" s="1">
        <v>42463</v>
      </c>
      <c r="C100">
        <v>0</v>
      </c>
      <c r="D100">
        <v>0</v>
      </c>
      <c r="E100">
        <v>0</v>
      </c>
      <c r="F100">
        <v>0</v>
      </c>
      <c r="G100">
        <v>0</v>
      </c>
      <c r="H100">
        <v>0</v>
      </c>
      <c r="I100">
        <v>0</v>
      </c>
      <c r="J100">
        <v>0</v>
      </c>
      <c r="K100">
        <v>0</v>
      </c>
      <c r="L100">
        <v>0</v>
      </c>
      <c r="M100">
        <v>0</v>
      </c>
      <c r="N100">
        <v>1440</v>
      </c>
      <c r="O100">
        <v>1324</v>
      </c>
      <c r="P100" s="3" t="str" cm="1">
        <f t="array" ref="P100">_xlfn.XLOOKUP(A100&amp;B100,'[1]Daily Sleep'!$A$2:$A$468&amp;'[1]Daily Sleep'!$B$2:$B$468,'[1]Daily Sleep'!$D$2:$D$468,"")</f>
        <v/>
      </c>
    </row>
    <row r="101" spans="1:16" x14ac:dyDescent="0.35">
      <c r="A101">
        <v>2320127002</v>
      </c>
      <c r="B101" s="1">
        <v>42464</v>
      </c>
      <c r="C101">
        <v>0</v>
      </c>
      <c r="D101">
        <v>0</v>
      </c>
      <c r="E101">
        <v>0</v>
      </c>
      <c r="F101">
        <v>0</v>
      </c>
      <c r="G101">
        <v>0</v>
      </c>
      <c r="H101">
        <v>0</v>
      </c>
      <c r="I101">
        <v>0</v>
      </c>
      <c r="J101">
        <v>0</v>
      </c>
      <c r="K101">
        <v>0</v>
      </c>
      <c r="L101">
        <v>0</v>
      </c>
      <c r="M101">
        <v>0</v>
      </c>
      <c r="N101">
        <v>1440</v>
      </c>
      <c r="O101">
        <v>1324</v>
      </c>
      <c r="P101" s="3" t="str" cm="1">
        <f t="array" ref="P101">_xlfn.XLOOKUP(A101&amp;B101,'[1]Daily Sleep'!$A$2:$A$468&amp;'[1]Daily Sleep'!$B$2:$B$468,'[1]Daily Sleep'!$D$2:$D$468,"")</f>
        <v/>
      </c>
    </row>
    <row r="102" spans="1:16" x14ac:dyDescent="0.35">
      <c r="A102">
        <v>2320127002</v>
      </c>
      <c r="B102" s="1">
        <v>42465</v>
      </c>
      <c r="C102">
        <v>4931</v>
      </c>
      <c r="D102">
        <v>3.3199999332428001</v>
      </c>
      <c r="E102">
        <v>3.3199999332428001</v>
      </c>
      <c r="F102">
        <v>0</v>
      </c>
      <c r="G102">
        <v>0</v>
      </c>
      <c r="H102">
        <v>0</v>
      </c>
      <c r="I102">
        <v>3.3199999332428001</v>
      </c>
      <c r="J102">
        <v>0</v>
      </c>
      <c r="K102">
        <v>0</v>
      </c>
      <c r="L102">
        <v>0</v>
      </c>
      <c r="M102">
        <v>175</v>
      </c>
      <c r="N102">
        <v>1265</v>
      </c>
      <c r="O102">
        <v>1708</v>
      </c>
      <c r="P102" s="3" t="str" cm="1">
        <f t="array" ref="P102">_xlfn.XLOOKUP(A102&amp;B102,'[1]Daily Sleep'!$A$2:$A$468&amp;'[1]Daily Sleep'!$B$2:$B$468,'[1]Daily Sleep'!$D$2:$D$468,"")</f>
        <v/>
      </c>
    </row>
    <row r="103" spans="1:16" x14ac:dyDescent="0.35">
      <c r="A103">
        <v>2320127002</v>
      </c>
      <c r="B103" s="1">
        <v>42466</v>
      </c>
      <c r="C103">
        <v>6999</v>
      </c>
      <c r="D103">
        <v>4.7199997901916504</v>
      </c>
      <c r="E103">
        <v>4.7199997901916504</v>
      </c>
      <c r="F103">
        <v>0</v>
      </c>
      <c r="G103">
        <v>0</v>
      </c>
      <c r="H103">
        <v>0</v>
      </c>
      <c r="I103">
        <v>4.7199997901916504</v>
      </c>
      <c r="J103">
        <v>0</v>
      </c>
      <c r="K103">
        <v>0</v>
      </c>
      <c r="L103">
        <v>0</v>
      </c>
      <c r="M103">
        <v>320</v>
      </c>
      <c r="N103">
        <v>1120</v>
      </c>
      <c r="O103">
        <v>1950</v>
      </c>
      <c r="P103" s="3" t="str" cm="1">
        <f t="array" ref="P103">_xlfn.XLOOKUP(A103&amp;B103,'[1]Daily Sleep'!$A$2:$A$468&amp;'[1]Daily Sleep'!$B$2:$B$468,'[1]Daily Sleep'!$D$2:$D$468,"")</f>
        <v/>
      </c>
    </row>
    <row r="104" spans="1:16" x14ac:dyDescent="0.35">
      <c r="A104">
        <v>2320127002</v>
      </c>
      <c r="B104" s="1">
        <v>42467</v>
      </c>
      <c r="C104">
        <v>1846</v>
      </c>
      <c r="D104">
        <v>1.2400000095367401</v>
      </c>
      <c r="E104">
        <v>1.2400000095367401</v>
      </c>
      <c r="F104">
        <v>0</v>
      </c>
      <c r="G104">
        <v>0</v>
      </c>
      <c r="H104">
        <v>0</v>
      </c>
      <c r="I104">
        <v>1.2400000095367401</v>
      </c>
      <c r="J104">
        <v>0</v>
      </c>
      <c r="K104">
        <v>0</v>
      </c>
      <c r="L104">
        <v>0</v>
      </c>
      <c r="M104">
        <v>93</v>
      </c>
      <c r="N104">
        <v>1347</v>
      </c>
      <c r="O104">
        <v>1508</v>
      </c>
      <c r="P104" s="3" t="str" cm="1">
        <f t="array" ref="P104">_xlfn.XLOOKUP(A104&amp;B104,'[1]Daily Sleep'!$A$2:$A$468&amp;'[1]Daily Sleep'!$B$2:$B$468,'[1]Daily Sleep'!$D$2:$D$468,"")</f>
        <v/>
      </c>
    </row>
    <row r="105" spans="1:16" x14ac:dyDescent="0.35">
      <c r="A105">
        <v>2320127002</v>
      </c>
      <c r="B105" s="1">
        <v>42468</v>
      </c>
      <c r="C105">
        <v>3417</v>
      </c>
      <c r="D105">
        <v>2.2999999523162802</v>
      </c>
      <c r="E105">
        <v>2.2999999523162802</v>
      </c>
      <c r="F105">
        <v>0</v>
      </c>
      <c r="G105">
        <v>0</v>
      </c>
      <c r="H105">
        <v>0</v>
      </c>
      <c r="I105">
        <v>2.2999999523162802</v>
      </c>
      <c r="J105">
        <v>0</v>
      </c>
      <c r="K105">
        <v>0</v>
      </c>
      <c r="L105">
        <v>0</v>
      </c>
      <c r="M105">
        <v>153</v>
      </c>
      <c r="N105">
        <v>1287</v>
      </c>
      <c r="O105">
        <v>1625</v>
      </c>
      <c r="P105" s="3" t="str" cm="1">
        <f t="array" ref="P105">_xlfn.XLOOKUP(A105&amp;B105,'[1]Daily Sleep'!$A$2:$A$468&amp;'[1]Daily Sleep'!$B$2:$B$468,'[1]Daily Sleep'!$D$2:$D$468,"")</f>
        <v/>
      </c>
    </row>
    <row r="106" spans="1:16" x14ac:dyDescent="0.35">
      <c r="A106">
        <v>2320127002</v>
      </c>
      <c r="B106" s="1">
        <v>42469</v>
      </c>
      <c r="C106">
        <v>4863</v>
      </c>
      <c r="D106">
        <v>3.2799999713897701</v>
      </c>
      <c r="E106">
        <v>3.2799999713897701</v>
      </c>
      <c r="F106">
        <v>0</v>
      </c>
      <c r="G106">
        <v>5.9999998658895499E-2</v>
      </c>
      <c r="H106">
        <v>0.41999998688697798</v>
      </c>
      <c r="I106">
        <v>2.7999999523162802</v>
      </c>
      <c r="J106">
        <v>0</v>
      </c>
      <c r="K106">
        <v>1</v>
      </c>
      <c r="L106">
        <v>11</v>
      </c>
      <c r="M106">
        <v>208</v>
      </c>
      <c r="N106">
        <v>1220</v>
      </c>
      <c r="O106">
        <v>1772</v>
      </c>
      <c r="P106" s="3" t="str" cm="1">
        <f t="array" ref="P106">_xlfn.XLOOKUP(A106&amp;B106,'[1]Daily Sleep'!$A$2:$A$468&amp;'[1]Daily Sleep'!$B$2:$B$468,'[1]Daily Sleep'!$D$2:$D$468,"")</f>
        <v/>
      </c>
    </row>
    <row r="107" spans="1:16" x14ac:dyDescent="0.35">
      <c r="A107">
        <v>2320127002</v>
      </c>
      <c r="B107" s="1">
        <v>42470</v>
      </c>
      <c r="C107">
        <v>2277</v>
      </c>
      <c r="D107">
        <v>1.5299999713897701</v>
      </c>
      <c r="E107">
        <v>1.5299999713897701</v>
      </c>
      <c r="F107">
        <v>0</v>
      </c>
      <c r="G107">
        <v>0</v>
      </c>
      <c r="H107">
        <v>0</v>
      </c>
      <c r="I107">
        <v>1.5299999713897701</v>
      </c>
      <c r="J107">
        <v>0</v>
      </c>
      <c r="K107">
        <v>0</v>
      </c>
      <c r="L107">
        <v>0</v>
      </c>
      <c r="M107">
        <v>103</v>
      </c>
      <c r="N107">
        <v>1337</v>
      </c>
      <c r="O107">
        <v>1530</v>
      </c>
      <c r="P107" s="3" t="str" cm="1">
        <f t="array" ref="P107">_xlfn.XLOOKUP(A107&amp;B107,'[1]Daily Sleep'!$A$2:$A$468&amp;'[1]Daily Sleep'!$B$2:$B$468,'[1]Daily Sleep'!$D$2:$D$468,"")</f>
        <v/>
      </c>
    </row>
    <row r="108" spans="1:16" x14ac:dyDescent="0.35">
      <c r="A108">
        <v>2320127002</v>
      </c>
      <c r="B108" s="1">
        <v>42471</v>
      </c>
      <c r="C108">
        <v>11230</v>
      </c>
      <c r="D108">
        <v>7.6700000762939498</v>
      </c>
      <c r="E108">
        <v>7.6700000762939498</v>
      </c>
      <c r="F108">
        <v>0</v>
      </c>
      <c r="G108">
        <v>0.88999998569488503</v>
      </c>
      <c r="H108">
        <v>0.119999997317791</v>
      </c>
      <c r="I108">
        <v>6.6599998474121103</v>
      </c>
      <c r="J108">
        <v>0</v>
      </c>
      <c r="K108">
        <v>10</v>
      </c>
      <c r="L108">
        <v>2</v>
      </c>
      <c r="M108">
        <v>390</v>
      </c>
      <c r="N108">
        <v>1038</v>
      </c>
      <c r="O108">
        <v>2206</v>
      </c>
      <c r="P108" s="3" t="str" cm="1">
        <f t="array" ref="P108">_xlfn.XLOOKUP(A108&amp;B108,'[1]Daily Sleep'!$A$2:$A$468&amp;'[1]Daily Sleep'!$B$2:$B$468,'[1]Daily Sleep'!$D$2:$D$468,"")</f>
        <v/>
      </c>
    </row>
    <row r="109" spans="1:16" x14ac:dyDescent="0.35">
      <c r="A109">
        <v>2320127002</v>
      </c>
      <c r="B109" s="1">
        <v>42472</v>
      </c>
      <c r="C109">
        <v>2098</v>
      </c>
      <c r="D109">
        <v>1.4099999666214</v>
      </c>
      <c r="E109">
        <v>1.4099999666214</v>
      </c>
      <c r="F109">
        <v>0</v>
      </c>
      <c r="G109">
        <v>0</v>
      </c>
      <c r="H109">
        <v>0</v>
      </c>
      <c r="I109">
        <v>1.4099999666214</v>
      </c>
      <c r="J109">
        <v>0</v>
      </c>
      <c r="K109">
        <v>0</v>
      </c>
      <c r="L109">
        <v>0</v>
      </c>
      <c r="M109">
        <v>69</v>
      </c>
      <c r="N109">
        <v>617</v>
      </c>
      <c r="O109">
        <v>790</v>
      </c>
      <c r="P109" s="3" t="str" cm="1">
        <f t="array" ref="P109">_xlfn.XLOOKUP(A109&amp;B109,'[1]Daily Sleep'!$A$2:$A$468&amp;'[1]Daily Sleep'!$B$2:$B$468,'[1]Daily Sleep'!$D$2:$D$468,"")</f>
        <v/>
      </c>
    </row>
    <row r="110" spans="1:16" x14ac:dyDescent="0.35">
      <c r="A110">
        <v>2347167796</v>
      </c>
      <c r="B110" s="1">
        <v>42458</v>
      </c>
      <c r="C110">
        <v>10272</v>
      </c>
      <c r="D110">
        <v>6.78999996185303</v>
      </c>
      <c r="E110">
        <v>6.78999996185303</v>
      </c>
      <c r="F110">
        <v>0</v>
      </c>
      <c r="G110">
        <v>0.15999999642372101</v>
      </c>
      <c r="H110">
        <v>3.1199998855590798</v>
      </c>
      <c r="I110">
        <v>3.5</v>
      </c>
      <c r="J110">
        <v>0</v>
      </c>
      <c r="K110">
        <v>2</v>
      </c>
      <c r="L110">
        <v>58</v>
      </c>
      <c r="M110">
        <v>208</v>
      </c>
      <c r="N110">
        <v>700</v>
      </c>
      <c r="O110">
        <v>2041</v>
      </c>
      <c r="P110" s="3" cm="1">
        <f t="array" ref="P110">_xlfn.XLOOKUP(A110&amp;B110,'[1]Daily Sleep'!$A$2:$A$468&amp;'[1]Daily Sleep'!$B$2:$B$468,'[1]Daily Sleep'!$D$2:$D$468,"")</f>
        <v>7.0333333333333332</v>
      </c>
    </row>
    <row r="111" spans="1:16" x14ac:dyDescent="0.35">
      <c r="A111">
        <v>2347167796</v>
      </c>
      <c r="B111" s="1">
        <v>42459</v>
      </c>
      <c r="C111">
        <v>10533</v>
      </c>
      <c r="D111">
        <v>7.0999999046325701</v>
      </c>
      <c r="E111">
        <v>7.0999999046325701</v>
      </c>
      <c r="F111">
        <v>0</v>
      </c>
      <c r="G111">
        <v>1.7699999809265099</v>
      </c>
      <c r="H111">
        <v>2.0599999427795401</v>
      </c>
      <c r="I111">
        <v>3.2699999809265101</v>
      </c>
      <c r="J111">
        <v>0</v>
      </c>
      <c r="K111">
        <v>21</v>
      </c>
      <c r="L111">
        <v>35</v>
      </c>
      <c r="M111">
        <v>255</v>
      </c>
      <c r="N111">
        <v>615</v>
      </c>
      <c r="O111">
        <v>2187</v>
      </c>
      <c r="P111" s="3" cm="1">
        <f t="array" ref="P111">_xlfn.XLOOKUP(A111&amp;B111,'[1]Daily Sleep'!$A$2:$A$468&amp;'[1]Daily Sleep'!$B$2:$B$468,'[1]Daily Sleep'!$D$2:$D$468,"")</f>
        <v>7.8666666666666663</v>
      </c>
    </row>
    <row r="112" spans="1:16" x14ac:dyDescent="0.35">
      <c r="A112">
        <v>2347167796</v>
      </c>
      <c r="B112" s="1">
        <v>42460</v>
      </c>
      <c r="C112">
        <v>6760</v>
      </c>
      <c r="D112">
        <v>4.4699997901916504</v>
      </c>
      <c r="E112">
        <v>4.4699997901916504</v>
      </c>
      <c r="F112">
        <v>0</v>
      </c>
      <c r="G112">
        <v>0</v>
      </c>
      <c r="H112">
        <v>0</v>
      </c>
      <c r="I112">
        <v>4.4699997901916504</v>
      </c>
      <c r="J112">
        <v>0</v>
      </c>
      <c r="K112">
        <v>0</v>
      </c>
      <c r="L112">
        <v>0</v>
      </c>
      <c r="M112">
        <v>250</v>
      </c>
      <c r="N112">
        <v>613</v>
      </c>
      <c r="O112">
        <v>1929</v>
      </c>
      <c r="P112" s="3" cm="1">
        <f t="array" ref="P112">_xlfn.XLOOKUP(A112&amp;B112,'[1]Daily Sleep'!$A$2:$A$468&amp;'[1]Daily Sleep'!$B$2:$B$468,'[1]Daily Sleep'!$D$2:$D$468,"")</f>
        <v>8.6166666666666671</v>
      </c>
    </row>
    <row r="113" spans="1:16" x14ac:dyDescent="0.35">
      <c r="A113">
        <v>2347167796</v>
      </c>
      <c r="B113" s="1">
        <v>42461</v>
      </c>
      <c r="C113">
        <v>8328</v>
      </c>
      <c r="D113">
        <v>5.5100002288818404</v>
      </c>
      <c r="E113">
        <v>5.5100002288818404</v>
      </c>
      <c r="F113">
        <v>0</v>
      </c>
      <c r="G113">
        <v>0</v>
      </c>
      <c r="H113">
        <v>2</v>
      </c>
      <c r="I113">
        <v>3.5</v>
      </c>
      <c r="J113">
        <v>0</v>
      </c>
      <c r="K113">
        <v>0</v>
      </c>
      <c r="L113">
        <v>33</v>
      </c>
      <c r="M113">
        <v>212</v>
      </c>
      <c r="N113">
        <v>804</v>
      </c>
      <c r="O113">
        <v>1935</v>
      </c>
      <c r="P113" s="3" cm="1">
        <f t="array" ref="P113">_xlfn.XLOOKUP(A113&amp;B113,'[1]Daily Sleep'!$A$2:$A$468&amp;'[1]Daily Sleep'!$B$2:$B$468,'[1]Daily Sleep'!$D$2:$D$468,"")</f>
        <v>6.2333333333333334</v>
      </c>
    </row>
    <row r="114" spans="1:16" x14ac:dyDescent="0.35">
      <c r="A114">
        <v>2347167796</v>
      </c>
      <c r="B114" s="1">
        <v>42462</v>
      </c>
      <c r="C114">
        <v>15459</v>
      </c>
      <c r="D114">
        <v>10.2200002670288</v>
      </c>
      <c r="E114">
        <v>10.2200002670288</v>
      </c>
      <c r="F114">
        <v>0</v>
      </c>
      <c r="G114">
        <v>3.5899999141693102</v>
      </c>
      <c r="H114">
        <v>0.81000000238418601</v>
      </c>
      <c r="I114">
        <v>5.8200001716613796</v>
      </c>
      <c r="J114">
        <v>0</v>
      </c>
      <c r="K114">
        <v>51</v>
      </c>
      <c r="L114">
        <v>16</v>
      </c>
      <c r="M114">
        <v>327</v>
      </c>
      <c r="N114">
        <v>583</v>
      </c>
      <c r="O114">
        <v>2438</v>
      </c>
      <c r="P114" s="3" cm="1">
        <f t="array" ref="P114">_xlfn.XLOOKUP(A114&amp;B114,'[1]Daily Sleep'!$A$2:$A$468&amp;'[1]Daily Sleep'!$B$2:$B$468,'[1]Daily Sleep'!$D$2:$D$468,"")</f>
        <v>6.95</v>
      </c>
    </row>
    <row r="115" spans="1:16" x14ac:dyDescent="0.35">
      <c r="A115">
        <v>2347167796</v>
      </c>
      <c r="B115" s="1">
        <v>42463</v>
      </c>
      <c r="C115">
        <v>7485</v>
      </c>
      <c r="D115">
        <v>4.9499998092651403</v>
      </c>
      <c r="E115">
        <v>4.9499998092651403</v>
      </c>
      <c r="F115">
        <v>0</v>
      </c>
      <c r="G115">
        <v>0</v>
      </c>
      <c r="H115">
        <v>0</v>
      </c>
      <c r="I115">
        <v>4.9499998092651403</v>
      </c>
      <c r="J115">
        <v>0</v>
      </c>
      <c r="K115">
        <v>0</v>
      </c>
      <c r="L115">
        <v>0</v>
      </c>
      <c r="M115">
        <v>324</v>
      </c>
      <c r="N115">
        <v>491</v>
      </c>
      <c r="O115">
        <v>2035</v>
      </c>
      <c r="P115" s="3" cm="1">
        <f t="array" ref="P115">_xlfn.XLOOKUP(A115&amp;B115,'[1]Daily Sleep'!$A$2:$A$468&amp;'[1]Daily Sleep'!$B$2:$B$468,'[1]Daily Sleep'!$D$2:$D$468,"")</f>
        <v>9.65</v>
      </c>
    </row>
    <row r="116" spans="1:16" x14ac:dyDescent="0.35">
      <c r="A116">
        <v>2347167796</v>
      </c>
      <c r="B116" s="1">
        <v>42464</v>
      </c>
      <c r="C116">
        <v>10254</v>
      </c>
      <c r="D116">
        <v>6.8000001907348597</v>
      </c>
      <c r="E116">
        <v>6.8000001907348597</v>
      </c>
      <c r="F116">
        <v>0</v>
      </c>
      <c r="G116">
        <v>1.41999995708466</v>
      </c>
      <c r="H116">
        <v>1.2300000190734901</v>
      </c>
      <c r="I116">
        <v>4.1599998474121103</v>
      </c>
      <c r="J116">
        <v>0</v>
      </c>
      <c r="K116">
        <v>21</v>
      </c>
      <c r="L116">
        <v>25</v>
      </c>
      <c r="M116">
        <v>231</v>
      </c>
      <c r="N116">
        <v>638</v>
      </c>
      <c r="O116">
        <v>2099</v>
      </c>
      <c r="P116" s="3" cm="1">
        <f t="array" ref="P116">_xlfn.XLOOKUP(A116&amp;B116,'[1]Daily Sleep'!$A$2:$A$468&amp;'[1]Daily Sleep'!$B$2:$B$468,'[1]Daily Sleep'!$D$2:$D$468,"")</f>
        <v>7.8666666666666663</v>
      </c>
    </row>
    <row r="117" spans="1:16" x14ac:dyDescent="0.35">
      <c r="A117">
        <v>2347167796</v>
      </c>
      <c r="B117" s="1">
        <v>42465</v>
      </c>
      <c r="C117">
        <v>10114</v>
      </c>
      <c r="D117">
        <v>6.8200001716613796</v>
      </c>
      <c r="E117">
        <v>6.8200001716613796</v>
      </c>
      <c r="F117">
        <v>0</v>
      </c>
      <c r="G117">
        <v>1.6399999856948899</v>
      </c>
      <c r="H117">
        <v>0.479999989271164</v>
      </c>
      <c r="I117">
        <v>4.6799998283386204</v>
      </c>
      <c r="J117">
        <v>0</v>
      </c>
      <c r="K117">
        <v>18</v>
      </c>
      <c r="L117">
        <v>9</v>
      </c>
      <c r="M117">
        <v>269</v>
      </c>
      <c r="N117">
        <v>696</v>
      </c>
      <c r="O117">
        <v>2096</v>
      </c>
      <c r="P117" s="3" cm="1">
        <f t="array" ref="P117">_xlfn.XLOOKUP(A117&amp;B117,'[1]Daily Sleep'!$A$2:$A$468&amp;'[1]Daily Sleep'!$B$2:$B$468,'[1]Daily Sleep'!$D$2:$D$468,"")</f>
        <v>6.583333333333333</v>
      </c>
    </row>
    <row r="118" spans="1:16" x14ac:dyDescent="0.35">
      <c r="A118">
        <v>2347167796</v>
      </c>
      <c r="B118" s="1">
        <v>42466</v>
      </c>
      <c r="C118">
        <v>11107</v>
      </c>
      <c r="D118">
        <v>7.3400001525878897</v>
      </c>
      <c r="E118">
        <v>7.3400001525878897</v>
      </c>
      <c r="F118">
        <v>0</v>
      </c>
      <c r="G118">
        <v>0.89999997615814198</v>
      </c>
      <c r="H118">
        <v>2.7599999904632599</v>
      </c>
      <c r="I118">
        <v>3.6800000667571999</v>
      </c>
      <c r="J118">
        <v>0</v>
      </c>
      <c r="K118">
        <v>14</v>
      </c>
      <c r="L118">
        <v>46</v>
      </c>
      <c r="M118">
        <v>196</v>
      </c>
      <c r="N118">
        <v>759</v>
      </c>
      <c r="O118">
        <v>2058</v>
      </c>
      <c r="P118" s="3" cm="1">
        <f t="array" ref="P118">_xlfn.XLOOKUP(A118&amp;B118,'[1]Daily Sleep'!$A$2:$A$468&amp;'[1]Daily Sleep'!$B$2:$B$468,'[1]Daily Sleep'!$D$2:$D$468,"")</f>
        <v>6.2</v>
      </c>
    </row>
    <row r="119" spans="1:16" x14ac:dyDescent="0.35">
      <c r="A119">
        <v>2347167796</v>
      </c>
      <c r="B119" s="1">
        <v>42467</v>
      </c>
      <c r="C119">
        <v>10320</v>
      </c>
      <c r="D119">
        <v>6.8499999046325701</v>
      </c>
      <c r="E119">
        <v>6.8499999046325701</v>
      </c>
      <c r="F119">
        <v>0</v>
      </c>
      <c r="G119">
        <v>0.68000000715255704</v>
      </c>
      <c r="H119">
        <v>1.2300000190734901</v>
      </c>
      <c r="I119">
        <v>4.9400000572204599</v>
      </c>
      <c r="J119">
        <v>0</v>
      </c>
      <c r="K119">
        <v>15</v>
      </c>
      <c r="L119">
        <v>32</v>
      </c>
      <c r="M119">
        <v>315</v>
      </c>
      <c r="N119">
        <v>1002</v>
      </c>
      <c r="O119">
        <v>2338</v>
      </c>
      <c r="P119" s="3" cm="1">
        <f t="array" ref="P119">_xlfn.XLOOKUP(A119&amp;B119,'[1]Daily Sleep'!$A$2:$A$468&amp;'[1]Daily Sleep'!$B$2:$B$468,'[1]Daily Sleep'!$D$2:$D$468,"")</f>
        <v>1.1666666666666667</v>
      </c>
    </row>
    <row r="120" spans="1:16" x14ac:dyDescent="0.35">
      <c r="A120">
        <v>2347167796</v>
      </c>
      <c r="B120" s="1">
        <v>42468</v>
      </c>
      <c r="C120">
        <v>10209</v>
      </c>
      <c r="D120">
        <v>6.75</v>
      </c>
      <c r="E120">
        <v>6.75</v>
      </c>
      <c r="F120">
        <v>0</v>
      </c>
      <c r="G120">
        <v>0.15999999642372101</v>
      </c>
      <c r="H120">
        <v>0.34999999403953602</v>
      </c>
      <c r="I120">
        <v>6.2300000190734899</v>
      </c>
      <c r="J120">
        <v>0</v>
      </c>
      <c r="K120">
        <v>2</v>
      </c>
      <c r="L120">
        <v>6</v>
      </c>
      <c r="M120">
        <v>316</v>
      </c>
      <c r="N120">
        <v>711</v>
      </c>
      <c r="O120">
        <v>2104</v>
      </c>
      <c r="P120" s="3" cm="1">
        <f t="array" ref="P120">_xlfn.XLOOKUP(A120&amp;B120,'[1]Daily Sleep'!$A$2:$A$468&amp;'[1]Daily Sleep'!$B$2:$B$468,'[1]Daily Sleep'!$D$2:$D$468,"")</f>
        <v>6.333333333333333</v>
      </c>
    </row>
    <row r="121" spans="1:16" x14ac:dyDescent="0.35">
      <c r="A121">
        <v>2347167796</v>
      </c>
      <c r="B121" s="1">
        <v>42469</v>
      </c>
      <c r="C121">
        <v>16081</v>
      </c>
      <c r="D121">
        <v>10.6300001144409</v>
      </c>
      <c r="E121">
        <v>10.6300001144409</v>
      </c>
      <c r="F121">
        <v>0</v>
      </c>
      <c r="G121">
        <v>1.25</v>
      </c>
      <c r="H121">
        <v>1.8200000524520901</v>
      </c>
      <c r="I121">
        <v>7.5599999427795401</v>
      </c>
      <c r="J121">
        <v>0</v>
      </c>
      <c r="K121">
        <v>16</v>
      </c>
      <c r="L121">
        <v>32</v>
      </c>
      <c r="M121">
        <v>401</v>
      </c>
      <c r="N121">
        <v>970</v>
      </c>
      <c r="O121">
        <v>2488</v>
      </c>
      <c r="P121" s="3" cm="1">
        <f t="array" ref="P121">_xlfn.XLOOKUP(A121&amp;B121,'[1]Daily Sleep'!$A$2:$A$468&amp;'[1]Daily Sleep'!$B$2:$B$468,'[1]Daily Sleep'!$D$2:$D$468,"")</f>
        <v>0.3</v>
      </c>
    </row>
    <row r="122" spans="1:16" x14ac:dyDescent="0.35">
      <c r="A122">
        <v>2347167796</v>
      </c>
      <c r="B122" s="1">
        <v>42470</v>
      </c>
      <c r="C122">
        <v>10078</v>
      </c>
      <c r="D122">
        <v>6.8299999237060502</v>
      </c>
      <c r="E122">
        <v>6.8299999237060502</v>
      </c>
      <c r="F122">
        <v>0</v>
      </c>
      <c r="G122">
        <v>1.0199999809265099</v>
      </c>
      <c r="H122">
        <v>0.119999997317791</v>
      </c>
      <c r="I122">
        <v>5.6900000572204599</v>
      </c>
      <c r="J122">
        <v>0</v>
      </c>
      <c r="K122">
        <v>12</v>
      </c>
      <c r="L122">
        <v>3</v>
      </c>
      <c r="M122">
        <v>303</v>
      </c>
      <c r="N122">
        <v>463</v>
      </c>
      <c r="O122">
        <v>2164</v>
      </c>
      <c r="P122" s="3" cm="1">
        <f t="array" ref="P122">_xlfn.XLOOKUP(A122&amp;B122,'[1]Daily Sleep'!$A$2:$A$468&amp;'[1]Daily Sleep'!$B$2:$B$468,'[1]Daily Sleep'!$D$2:$D$468,"")</f>
        <v>10.016666666666667</v>
      </c>
    </row>
    <row r="123" spans="1:16" x14ac:dyDescent="0.35">
      <c r="A123">
        <v>2347167796</v>
      </c>
      <c r="B123" s="1">
        <v>42471</v>
      </c>
      <c r="C123">
        <v>10001</v>
      </c>
      <c r="D123">
        <v>6.6100001335143999</v>
      </c>
      <c r="E123">
        <v>6.6100001335143999</v>
      </c>
      <c r="F123">
        <v>0</v>
      </c>
      <c r="G123">
        <v>0.33000001311302202</v>
      </c>
      <c r="H123">
        <v>2.9300000667571999</v>
      </c>
      <c r="I123">
        <v>3.3599998950958301</v>
      </c>
      <c r="J123">
        <v>0</v>
      </c>
      <c r="K123">
        <v>5</v>
      </c>
      <c r="L123">
        <v>52</v>
      </c>
      <c r="M123">
        <v>196</v>
      </c>
      <c r="N123">
        <v>788</v>
      </c>
      <c r="O123">
        <v>2009</v>
      </c>
      <c r="P123" s="3" cm="1">
        <f t="array" ref="P123">_xlfn.XLOOKUP(A123&amp;B123,'[1]Daily Sleep'!$A$2:$A$468&amp;'[1]Daily Sleep'!$B$2:$B$468,'[1]Daily Sleep'!$D$2:$D$468,"")</f>
        <v>5.8833333333333337</v>
      </c>
    </row>
    <row r="124" spans="1:16" x14ac:dyDescent="0.35">
      <c r="A124">
        <v>2347167796</v>
      </c>
      <c r="B124" s="1">
        <v>42472</v>
      </c>
      <c r="C124">
        <v>0</v>
      </c>
      <c r="D124">
        <v>0</v>
      </c>
      <c r="E124">
        <v>0</v>
      </c>
      <c r="F124">
        <v>0</v>
      </c>
      <c r="G124">
        <v>0</v>
      </c>
      <c r="H124">
        <v>0</v>
      </c>
      <c r="I124">
        <v>0</v>
      </c>
      <c r="J124">
        <v>0</v>
      </c>
      <c r="K124">
        <v>0</v>
      </c>
      <c r="L124">
        <v>0</v>
      </c>
      <c r="M124">
        <v>0</v>
      </c>
      <c r="N124">
        <v>425</v>
      </c>
      <c r="O124">
        <v>399</v>
      </c>
      <c r="P124" s="3" t="str" cm="1">
        <f t="array" ref="P124">_xlfn.XLOOKUP(A124&amp;B124,'[1]Daily Sleep'!$A$2:$A$468&amp;'[1]Daily Sleep'!$B$2:$B$468,'[1]Daily Sleep'!$D$2:$D$468,"")</f>
        <v/>
      </c>
    </row>
    <row r="125" spans="1:16" x14ac:dyDescent="0.35">
      <c r="A125">
        <v>2873212765</v>
      </c>
      <c r="B125" s="1">
        <v>42461</v>
      </c>
      <c r="C125">
        <v>890</v>
      </c>
      <c r="D125">
        <v>0.60000002384185802</v>
      </c>
      <c r="E125">
        <v>0.60000002384185802</v>
      </c>
      <c r="F125">
        <v>0</v>
      </c>
      <c r="G125">
        <v>0</v>
      </c>
      <c r="H125">
        <v>0</v>
      </c>
      <c r="I125">
        <v>0.60000002384185802</v>
      </c>
      <c r="J125">
        <v>0</v>
      </c>
      <c r="K125">
        <v>0</v>
      </c>
      <c r="L125">
        <v>0</v>
      </c>
      <c r="M125">
        <v>41</v>
      </c>
      <c r="N125">
        <v>1399</v>
      </c>
      <c r="O125">
        <v>1335</v>
      </c>
      <c r="P125" s="3" t="str" cm="1">
        <f t="array" ref="P125">_xlfn.XLOOKUP(A125&amp;B125,'[1]Daily Sleep'!$A$2:$A$468&amp;'[1]Daily Sleep'!$B$2:$B$468,'[1]Daily Sleep'!$D$2:$D$468,"")</f>
        <v/>
      </c>
    </row>
    <row r="126" spans="1:16" x14ac:dyDescent="0.35">
      <c r="A126">
        <v>2873212765</v>
      </c>
      <c r="B126" s="1">
        <v>42462</v>
      </c>
      <c r="C126">
        <v>2214</v>
      </c>
      <c r="D126">
        <v>1.4900000095367401</v>
      </c>
      <c r="E126">
        <v>1.4900000095367401</v>
      </c>
      <c r="F126">
        <v>0</v>
      </c>
      <c r="G126">
        <v>0</v>
      </c>
      <c r="H126">
        <v>0</v>
      </c>
      <c r="I126">
        <v>1.4900000095367401</v>
      </c>
      <c r="J126">
        <v>0</v>
      </c>
      <c r="K126">
        <v>0</v>
      </c>
      <c r="L126">
        <v>0</v>
      </c>
      <c r="M126">
        <v>197</v>
      </c>
      <c r="N126">
        <v>1243</v>
      </c>
      <c r="O126">
        <v>1559</v>
      </c>
      <c r="P126" s="3" t="str" cm="1">
        <f t="array" ref="P126">_xlfn.XLOOKUP(A126&amp;B126,'[1]Daily Sleep'!$A$2:$A$468&amp;'[1]Daily Sleep'!$B$2:$B$468,'[1]Daily Sleep'!$D$2:$D$468,"")</f>
        <v/>
      </c>
    </row>
    <row r="127" spans="1:16" x14ac:dyDescent="0.35">
      <c r="A127">
        <v>2873212765</v>
      </c>
      <c r="B127" s="1">
        <v>42463</v>
      </c>
      <c r="C127">
        <v>7640</v>
      </c>
      <c r="D127">
        <v>5.1300001144409197</v>
      </c>
      <c r="E127">
        <v>5.1300001144409197</v>
      </c>
      <c r="F127">
        <v>0</v>
      </c>
      <c r="G127">
        <v>0.18999999761581399</v>
      </c>
      <c r="H127">
        <v>0.80000001192092896</v>
      </c>
      <c r="I127">
        <v>4.1500000953674299</v>
      </c>
      <c r="J127">
        <v>0</v>
      </c>
      <c r="K127">
        <v>3</v>
      </c>
      <c r="L127">
        <v>15</v>
      </c>
      <c r="M127">
        <v>315</v>
      </c>
      <c r="N127">
        <v>1107</v>
      </c>
      <c r="O127">
        <v>1845</v>
      </c>
      <c r="P127" s="3" t="str" cm="1">
        <f t="array" ref="P127">_xlfn.XLOOKUP(A127&amp;B127,'[1]Daily Sleep'!$A$2:$A$468&amp;'[1]Daily Sleep'!$B$2:$B$468,'[1]Daily Sleep'!$D$2:$D$468,"")</f>
        <v/>
      </c>
    </row>
    <row r="128" spans="1:16" x14ac:dyDescent="0.35">
      <c r="A128">
        <v>2873212765</v>
      </c>
      <c r="B128" s="1">
        <v>42464</v>
      </c>
      <c r="C128">
        <v>9713</v>
      </c>
      <c r="D128">
        <v>6.5300002098083496</v>
      </c>
      <c r="E128">
        <v>6.5300002098083496</v>
      </c>
      <c r="F128">
        <v>0</v>
      </c>
      <c r="G128">
        <v>0.34000000357627902</v>
      </c>
      <c r="H128">
        <v>0.88999998569488503</v>
      </c>
      <c r="I128">
        <v>5.28999996185303</v>
      </c>
      <c r="J128">
        <v>0</v>
      </c>
      <c r="K128">
        <v>6</v>
      </c>
      <c r="L128">
        <v>24</v>
      </c>
      <c r="M128">
        <v>355</v>
      </c>
      <c r="N128">
        <v>1055</v>
      </c>
      <c r="O128">
        <v>2046</v>
      </c>
      <c r="P128" s="3" t="str" cm="1">
        <f t="array" ref="P128">_xlfn.XLOOKUP(A128&amp;B128,'[1]Daily Sleep'!$A$2:$A$468&amp;'[1]Daily Sleep'!$B$2:$B$468,'[1]Daily Sleep'!$D$2:$D$468,"")</f>
        <v/>
      </c>
    </row>
    <row r="129" spans="1:16" x14ac:dyDescent="0.35">
      <c r="A129">
        <v>2873212765</v>
      </c>
      <c r="B129" s="1">
        <v>42465</v>
      </c>
      <c r="C129">
        <v>8432</v>
      </c>
      <c r="D129">
        <v>5.6700000762939498</v>
      </c>
      <c r="E129">
        <v>5.6700000762939498</v>
      </c>
      <c r="F129">
        <v>0</v>
      </c>
      <c r="G129">
        <v>0</v>
      </c>
      <c r="H129">
        <v>0</v>
      </c>
      <c r="I129">
        <v>5.6500000953674299</v>
      </c>
      <c r="J129">
        <v>9.9999997764825804E-3</v>
      </c>
      <c r="K129">
        <v>0</v>
      </c>
      <c r="L129">
        <v>0</v>
      </c>
      <c r="M129">
        <v>374</v>
      </c>
      <c r="N129">
        <v>1066</v>
      </c>
      <c r="O129">
        <v>1953</v>
      </c>
      <c r="P129" s="3" t="str" cm="1">
        <f t="array" ref="P129">_xlfn.XLOOKUP(A129&amp;B129,'[1]Daily Sleep'!$A$2:$A$468&amp;'[1]Daily Sleep'!$B$2:$B$468,'[1]Daily Sleep'!$D$2:$D$468,"")</f>
        <v/>
      </c>
    </row>
    <row r="130" spans="1:16" x14ac:dyDescent="0.35">
      <c r="A130">
        <v>2873212765</v>
      </c>
      <c r="B130" s="1">
        <v>42466</v>
      </c>
      <c r="C130">
        <v>7350</v>
      </c>
      <c r="D130">
        <v>4.9400000572204599</v>
      </c>
      <c r="E130">
        <v>4.9400000572204599</v>
      </c>
      <c r="F130">
        <v>0</v>
      </c>
      <c r="G130">
        <v>0</v>
      </c>
      <c r="H130">
        <v>0</v>
      </c>
      <c r="I130">
        <v>4.9400000572204599</v>
      </c>
      <c r="J130">
        <v>0</v>
      </c>
      <c r="K130">
        <v>0</v>
      </c>
      <c r="L130">
        <v>0</v>
      </c>
      <c r="M130">
        <v>382</v>
      </c>
      <c r="N130">
        <v>1058</v>
      </c>
      <c r="O130">
        <v>1910</v>
      </c>
      <c r="P130" s="3" t="str" cm="1">
        <f t="array" ref="P130">_xlfn.XLOOKUP(A130&amp;B130,'[1]Daily Sleep'!$A$2:$A$468&amp;'[1]Daily Sleep'!$B$2:$B$468,'[1]Daily Sleep'!$D$2:$D$468,"")</f>
        <v/>
      </c>
    </row>
    <row r="131" spans="1:16" x14ac:dyDescent="0.35">
      <c r="A131">
        <v>2873212765</v>
      </c>
      <c r="B131" s="1">
        <v>42467</v>
      </c>
      <c r="C131">
        <v>9353</v>
      </c>
      <c r="D131">
        <v>6.3099999427795401</v>
      </c>
      <c r="E131">
        <v>6.3099999427795401</v>
      </c>
      <c r="F131">
        <v>0</v>
      </c>
      <c r="G131">
        <v>0.37000000476837203</v>
      </c>
      <c r="H131">
        <v>0.68999999761581399</v>
      </c>
      <c r="I131">
        <v>5.2399997711181596</v>
      </c>
      <c r="J131">
        <v>0</v>
      </c>
      <c r="K131">
        <v>5</v>
      </c>
      <c r="L131">
        <v>17</v>
      </c>
      <c r="M131">
        <v>363</v>
      </c>
      <c r="N131">
        <v>1055</v>
      </c>
      <c r="O131">
        <v>2035</v>
      </c>
      <c r="P131" s="3" t="str" cm="1">
        <f t="array" ref="P131">_xlfn.XLOOKUP(A131&amp;B131,'[1]Daily Sleep'!$A$2:$A$468&amp;'[1]Daily Sleep'!$B$2:$B$468,'[1]Daily Sleep'!$D$2:$D$468,"")</f>
        <v/>
      </c>
    </row>
    <row r="132" spans="1:16" x14ac:dyDescent="0.35">
      <c r="A132">
        <v>2873212765</v>
      </c>
      <c r="B132" s="1">
        <v>42468</v>
      </c>
      <c r="C132">
        <v>7157</v>
      </c>
      <c r="D132">
        <v>4.8099999427795401</v>
      </c>
      <c r="E132">
        <v>4.8099999427795401</v>
      </c>
      <c r="F132">
        <v>0</v>
      </c>
      <c r="G132">
        <v>0</v>
      </c>
      <c r="H132">
        <v>0</v>
      </c>
      <c r="I132">
        <v>4.8099999427795401</v>
      </c>
      <c r="J132">
        <v>0</v>
      </c>
      <c r="K132">
        <v>0</v>
      </c>
      <c r="L132">
        <v>0</v>
      </c>
      <c r="M132">
        <v>380</v>
      </c>
      <c r="N132">
        <v>1060</v>
      </c>
      <c r="O132">
        <v>1944</v>
      </c>
      <c r="P132" s="3" t="str" cm="1">
        <f t="array" ref="P132">_xlfn.XLOOKUP(A132&amp;B132,'[1]Daily Sleep'!$A$2:$A$468&amp;'[1]Daily Sleep'!$B$2:$B$468,'[1]Daily Sleep'!$D$2:$D$468,"")</f>
        <v/>
      </c>
    </row>
    <row r="133" spans="1:16" x14ac:dyDescent="0.35">
      <c r="A133">
        <v>2873212765</v>
      </c>
      <c r="B133" s="1">
        <v>42469</v>
      </c>
      <c r="C133">
        <v>14103</v>
      </c>
      <c r="D133">
        <v>9.5600004196166992</v>
      </c>
      <c r="E133">
        <v>9.5600004196166992</v>
      </c>
      <c r="F133">
        <v>0</v>
      </c>
      <c r="G133">
        <v>3.0199999809265101</v>
      </c>
      <c r="H133">
        <v>0.40999999642372098</v>
      </c>
      <c r="I133">
        <v>6.1399998664856001</v>
      </c>
      <c r="J133">
        <v>9.9999997764825804E-3</v>
      </c>
      <c r="K133">
        <v>46</v>
      </c>
      <c r="L133">
        <v>8</v>
      </c>
      <c r="M133">
        <v>288</v>
      </c>
      <c r="N133">
        <v>1098</v>
      </c>
      <c r="O133">
        <v>2257</v>
      </c>
      <c r="P133" s="3" t="str" cm="1">
        <f t="array" ref="P133">_xlfn.XLOOKUP(A133&amp;B133,'[1]Daily Sleep'!$A$2:$A$468&amp;'[1]Daily Sleep'!$B$2:$B$468,'[1]Daily Sleep'!$D$2:$D$468,"")</f>
        <v/>
      </c>
    </row>
    <row r="134" spans="1:16" x14ac:dyDescent="0.35">
      <c r="A134">
        <v>2873212765</v>
      </c>
      <c r="B134" s="1">
        <v>42470</v>
      </c>
      <c r="C134">
        <v>5290</v>
      </c>
      <c r="D134">
        <v>3.5499999523162802</v>
      </c>
      <c r="E134">
        <v>3.5499999523162802</v>
      </c>
      <c r="F134">
        <v>0</v>
      </c>
      <c r="G134">
        <v>3.9999999105930301E-2</v>
      </c>
      <c r="H134">
        <v>0.34000000357627902</v>
      </c>
      <c r="I134">
        <v>3.1700000762939502</v>
      </c>
      <c r="J134">
        <v>0</v>
      </c>
      <c r="K134">
        <v>1</v>
      </c>
      <c r="L134">
        <v>8</v>
      </c>
      <c r="M134">
        <v>251</v>
      </c>
      <c r="N134">
        <v>1180</v>
      </c>
      <c r="O134">
        <v>1724</v>
      </c>
      <c r="P134" s="3" t="str" cm="1">
        <f t="array" ref="P134">_xlfn.XLOOKUP(A134&amp;B134,'[1]Daily Sleep'!$A$2:$A$468&amp;'[1]Daily Sleep'!$B$2:$B$468,'[1]Daily Sleep'!$D$2:$D$468,"")</f>
        <v/>
      </c>
    </row>
    <row r="135" spans="1:16" x14ac:dyDescent="0.35">
      <c r="A135">
        <v>2873212765</v>
      </c>
      <c r="B135" s="1">
        <v>42471</v>
      </c>
      <c r="C135">
        <v>7497</v>
      </c>
      <c r="D135">
        <v>5.03999996185303</v>
      </c>
      <c r="E135">
        <v>5.03999996185303</v>
      </c>
      <c r="F135">
        <v>0</v>
      </c>
      <c r="G135">
        <v>0</v>
      </c>
      <c r="H135">
        <v>0</v>
      </c>
      <c r="I135">
        <v>5.03999996185303</v>
      </c>
      <c r="J135">
        <v>0</v>
      </c>
      <c r="K135">
        <v>0</v>
      </c>
      <c r="L135">
        <v>0</v>
      </c>
      <c r="M135">
        <v>357</v>
      </c>
      <c r="N135">
        <v>882</v>
      </c>
      <c r="O135">
        <v>1741</v>
      </c>
      <c r="P135" s="3" t="str" cm="1">
        <f t="array" ref="P135">_xlfn.XLOOKUP(A135&amp;B135,'[1]Daily Sleep'!$A$2:$A$468&amp;'[1]Daily Sleep'!$B$2:$B$468,'[1]Daily Sleep'!$D$2:$D$468,"")</f>
        <v/>
      </c>
    </row>
    <row r="136" spans="1:16" x14ac:dyDescent="0.35">
      <c r="A136">
        <v>2873212765</v>
      </c>
      <c r="B136" s="1">
        <v>42472</v>
      </c>
      <c r="C136">
        <v>0</v>
      </c>
      <c r="D136">
        <v>0</v>
      </c>
      <c r="E136">
        <v>0</v>
      </c>
      <c r="F136">
        <v>0</v>
      </c>
      <c r="G136">
        <v>0</v>
      </c>
      <c r="H136">
        <v>0</v>
      </c>
      <c r="I136">
        <v>0</v>
      </c>
      <c r="J136">
        <v>0</v>
      </c>
      <c r="K136">
        <v>0</v>
      </c>
      <c r="L136">
        <v>0</v>
      </c>
      <c r="M136">
        <v>0</v>
      </c>
      <c r="N136">
        <v>1440</v>
      </c>
      <c r="O136">
        <v>0</v>
      </c>
      <c r="P136" s="3" t="str" cm="1">
        <f t="array" ref="P136">_xlfn.XLOOKUP(A136&amp;B136,'[1]Daily Sleep'!$A$2:$A$468&amp;'[1]Daily Sleep'!$B$2:$B$468,'[1]Daily Sleep'!$D$2:$D$468,"")</f>
        <v/>
      </c>
    </row>
    <row r="137" spans="1:16" x14ac:dyDescent="0.35">
      <c r="A137">
        <v>2891001357</v>
      </c>
      <c r="B137" s="1">
        <v>42458</v>
      </c>
      <c r="C137">
        <v>0</v>
      </c>
      <c r="D137">
        <v>0</v>
      </c>
      <c r="E137">
        <v>0</v>
      </c>
      <c r="F137">
        <v>0</v>
      </c>
      <c r="G137">
        <v>0</v>
      </c>
      <c r="H137">
        <v>0</v>
      </c>
      <c r="I137">
        <v>0</v>
      </c>
      <c r="J137">
        <v>0</v>
      </c>
      <c r="K137">
        <v>0</v>
      </c>
      <c r="L137">
        <v>0</v>
      </c>
      <c r="M137">
        <v>0</v>
      </c>
      <c r="N137">
        <v>1440</v>
      </c>
      <c r="O137">
        <v>1920</v>
      </c>
      <c r="P137" s="3" t="str" cm="1">
        <f t="array" ref="P137">_xlfn.XLOOKUP(A137&amp;B137,'[1]Daily Sleep'!$A$2:$A$468&amp;'[1]Daily Sleep'!$B$2:$B$468,'[1]Daily Sleep'!$D$2:$D$468,"")</f>
        <v/>
      </c>
    </row>
    <row r="138" spans="1:16" x14ac:dyDescent="0.35">
      <c r="A138">
        <v>2891001357</v>
      </c>
      <c r="B138" s="1">
        <v>42459</v>
      </c>
      <c r="C138">
        <v>0</v>
      </c>
      <c r="D138">
        <v>0</v>
      </c>
      <c r="E138">
        <v>0</v>
      </c>
      <c r="F138">
        <v>0</v>
      </c>
      <c r="G138">
        <v>0</v>
      </c>
      <c r="H138">
        <v>0</v>
      </c>
      <c r="I138">
        <v>0</v>
      </c>
      <c r="J138">
        <v>0</v>
      </c>
      <c r="K138">
        <v>0</v>
      </c>
      <c r="L138">
        <v>0</v>
      </c>
      <c r="M138">
        <v>0</v>
      </c>
      <c r="N138">
        <v>1440</v>
      </c>
      <c r="O138">
        <v>1920</v>
      </c>
      <c r="P138" s="3" t="str" cm="1">
        <f t="array" ref="P138">_xlfn.XLOOKUP(A138&amp;B138,'[1]Daily Sleep'!$A$2:$A$468&amp;'[1]Daily Sleep'!$B$2:$B$468,'[1]Daily Sleep'!$D$2:$D$468,"")</f>
        <v/>
      </c>
    </row>
    <row r="139" spans="1:16" x14ac:dyDescent="0.35">
      <c r="A139">
        <v>2891001357</v>
      </c>
      <c r="B139" s="1">
        <v>42460</v>
      </c>
      <c r="C139">
        <v>0</v>
      </c>
      <c r="D139">
        <v>0</v>
      </c>
      <c r="E139">
        <v>0</v>
      </c>
      <c r="F139">
        <v>0</v>
      </c>
      <c r="G139">
        <v>0</v>
      </c>
      <c r="H139">
        <v>0</v>
      </c>
      <c r="I139">
        <v>0</v>
      </c>
      <c r="J139">
        <v>0</v>
      </c>
      <c r="K139">
        <v>0</v>
      </c>
      <c r="L139">
        <v>0</v>
      </c>
      <c r="M139">
        <v>0</v>
      </c>
      <c r="N139">
        <v>1440</v>
      </c>
      <c r="O139">
        <v>1920</v>
      </c>
      <c r="P139" s="3" t="str" cm="1">
        <f t="array" ref="P139">_xlfn.XLOOKUP(A139&amp;B139,'[1]Daily Sleep'!$A$2:$A$468&amp;'[1]Daily Sleep'!$B$2:$B$468,'[1]Daily Sleep'!$D$2:$D$468,"")</f>
        <v/>
      </c>
    </row>
    <row r="140" spans="1:16" x14ac:dyDescent="0.35">
      <c r="A140">
        <v>2891001357</v>
      </c>
      <c r="B140" s="1">
        <v>42461</v>
      </c>
      <c r="C140">
        <v>0</v>
      </c>
      <c r="D140">
        <v>0</v>
      </c>
      <c r="E140">
        <v>0</v>
      </c>
      <c r="F140">
        <v>4.8280320167541504</v>
      </c>
      <c r="G140">
        <v>0</v>
      </c>
      <c r="H140">
        <v>0</v>
      </c>
      <c r="I140">
        <v>0</v>
      </c>
      <c r="J140">
        <v>0</v>
      </c>
      <c r="K140">
        <v>0</v>
      </c>
      <c r="L140">
        <v>660</v>
      </c>
      <c r="M140">
        <v>0</v>
      </c>
      <c r="N140">
        <v>780</v>
      </c>
      <c r="O140">
        <v>4562</v>
      </c>
      <c r="P140" s="3" t="str" cm="1">
        <f t="array" ref="P140">_xlfn.XLOOKUP(A140&amp;B140,'[1]Daily Sleep'!$A$2:$A$468&amp;'[1]Daily Sleep'!$B$2:$B$468,'[1]Daily Sleep'!$D$2:$D$468,"")</f>
        <v/>
      </c>
    </row>
    <row r="141" spans="1:16" x14ac:dyDescent="0.35">
      <c r="A141">
        <v>2891001357</v>
      </c>
      <c r="B141" s="1">
        <v>42462</v>
      </c>
      <c r="C141">
        <v>4126</v>
      </c>
      <c r="D141">
        <v>3.2200000286102299</v>
      </c>
      <c r="E141">
        <v>0</v>
      </c>
      <c r="F141">
        <v>3.21868801116943</v>
      </c>
      <c r="G141">
        <v>0</v>
      </c>
      <c r="H141">
        <v>0</v>
      </c>
      <c r="I141">
        <v>3.2200000286102299</v>
      </c>
      <c r="J141">
        <v>0</v>
      </c>
      <c r="K141">
        <v>0</v>
      </c>
      <c r="L141">
        <v>0</v>
      </c>
      <c r="M141">
        <v>720</v>
      </c>
      <c r="N141">
        <v>720</v>
      </c>
      <c r="O141">
        <v>2881</v>
      </c>
      <c r="P141" s="3" t="str" cm="1">
        <f t="array" ref="P141">_xlfn.XLOOKUP(A141&amp;B141,'[1]Daily Sleep'!$A$2:$A$468&amp;'[1]Daily Sleep'!$B$2:$B$468,'[1]Daily Sleep'!$D$2:$D$468,"")</f>
        <v/>
      </c>
    </row>
    <row r="142" spans="1:16" x14ac:dyDescent="0.35">
      <c r="A142">
        <v>2891001357</v>
      </c>
      <c r="B142" s="1">
        <v>42463</v>
      </c>
      <c r="C142">
        <v>0</v>
      </c>
      <c r="D142">
        <v>0</v>
      </c>
      <c r="E142">
        <v>0</v>
      </c>
      <c r="F142">
        <v>0</v>
      </c>
      <c r="G142">
        <v>0</v>
      </c>
      <c r="H142">
        <v>0</v>
      </c>
      <c r="I142">
        <v>0</v>
      </c>
      <c r="J142">
        <v>0</v>
      </c>
      <c r="K142">
        <v>0</v>
      </c>
      <c r="L142">
        <v>0</v>
      </c>
      <c r="M142">
        <v>0</v>
      </c>
      <c r="N142">
        <v>1440</v>
      </c>
      <c r="O142">
        <v>1920</v>
      </c>
      <c r="P142" s="3" t="str" cm="1">
        <f t="array" ref="P142">_xlfn.XLOOKUP(A142&amp;B142,'[1]Daily Sleep'!$A$2:$A$468&amp;'[1]Daily Sleep'!$B$2:$B$468,'[1]Daily Sleep'!$D$2:$D$468,"")</f>
        <v/>
      </c>
    </row>
    <row r="143" spans="1:16" x14ac:dyDescent="0.35">
      <c r="A143">
        <v>2891001357</v>
      </c>
      <c r="B143" s="1">
        <v>42464</v>
      </c>
      <c r="C143">
        <v>0</v>
      </c>
      <c r="D143">
        <v>0</v>
      </c>
      <c r="E143">
        <v>0</v>
      </c>
      <c r="F143">
        <v>0</v>
      </c>
      <c r="G143">
        <v>0</v>
      </c>
      <c r="H143">
        <v>0</v>
      </c>
      <c r="I143">
        <v>0</v>
      </c>
      <c r="J143">
        <v>0</v>
      </c>
      <c r="K143">
        <v>0</v>
      </c>
      <c r="L143">
        <v>0</v>
      </c>
      <c r="M143">
        <v>0</v>
      </c>
      <c r="N143">
        <v>1440</v>
      </c>
      <c r="O143">
        <v>1920</v>
      </c>
      <c r="P143" s="3" t="str" cm="1">
        <f t="array" ref="P143">_xlfn.XLOOKUP(A143&amp;B143,'[1]Daily Sleep'!$A$2:$A$468&amp;'[1]Daily Sleep'!$B$2:$B$468,'[1]Daily Sleep'!$D$2:$D$468,"")</f>
        <v/>
      </c>
    </row>
    <row r="144" spans="1:16" x14ac:dyDescent="0.35">
      <c r="A144">
        <v>2891001357</v>
      </c>
      <c r="B144" s="1">
        <v>42465</v>
      </c>
      <c r="C144">
        <v>2063</v>
      </c>
      <c r="D144">
        <v>1.6100000143051101</v>
      </c>
      <c r="E144">
        <v>0</v>
      </c>
      <c r="F144">
        <v>1.6093440055847199</v>
      </c>
      <c r="G144">
        <v>0</v>
      </c>
      <c r="H144">
        <v>0</v>
      </c>
      <c r="I144">
        <v>1.6100000143051101</v>
      </c>
      <c r="J144">
        <v>0</v>
      </c>
      <c r="K144">
        <v>0</v>
      </c>
      <c r="L144">
        <v>0</v>
      </c>
      <c r="M144">
        <v>630</v>
      </c>
      <c r="N144">
        <v>99</v>
      </c>
      <c r="O144">
        <v>1144</v>
      </c>
      <c r="P144" s="3" t="str" cm="1">
        <f t="array" ref="P144">_xlfn.XLOOKUP(A144&amp;B144,'[1]Daily Sleep'!$A$2:$A$468&amp;'[1]Daily Sleep'!$B$2:$B$468,'[1]Daily Sleep'!$D$2:$D$468,"")</f>
        <v/>
      </c>
    </row>
    <row r="145" spans="1:16" x14ac:dyDescent="0.35">
      <c r="A145">
        <v>3372868164</v>
      </c>
      <c r="B145" s="1">
        <v>42461</v>
      </c>
      <c r="C145">
        <v>5785</v>
      </c>
      <c r="D145">
        <v>3.9500000476837198</v>
      </c>
      <c r="E145">
        <v>3.9500000476837198</v>
      </c>
      <c r="F145">
        <v>0</v>
      </c>
      <c r="G145">
        <v>0</v>
      </c>
      <c r="H145">
        <v>0</v>
      </c>
      <c r="I145">
        <v>3.9100000858306898</v>
      </c>
      <c r="J145">
        <v>3.9999999105930301E-2</v>
      </c>
      <c r="K145">
        <v>0</v>
      </c>
      <c r="L145">
        <v>0</v>
      </c>
      <c r="M145">
        <v>311</v>
      </c>
      <c r="N145">
        <v>1129</v>
      </c>
      <c r="O145">
        <v>1852</v>
      </c>
      <c r="P145" s="3" t="str" cm="1">
        <f t="array" ref="P145">_xlfn.XLOOKUP(A145&amp;B145,'[1]Daily Sleep'!$A$2:$A$468&amp;'[1]Daily Sleep'!$B$2:$B$468,'[1]Daily Sleep'!$D$2:$D$468,"")</f>
        <v/>
      </c>
    </row>
    <row r="146" spans="1:16" x14ac:dyDescent="0.35">
      <c r="A146">
        <v>3372868164</v>
      </c>
      <c r="B146" s="1">
        <v>42462</v>
      </c>
      <c r="C146">
        <v>7625</v>
      </c>
      <c r="D146">
        <v>5.2300000190734899</v>
      </c>
      <c r="E146">
        <v>5.2300000190734899</v>
      </c>
      <c r="F146">
        <v>0</v>
      </c>
      <c r="G146">
        <v>1.6799999475479099</v>
      </c>
      <c r="H146">
        <v>3.9999999105930301E-2</v>
      </c>
      <c r="I146">
        <v>3.5</v>
      </c>
      <c r="J146">
        <v>9.9999997764825804E-3</v>
      </c>
      <c r="K146">
        <v>24</v>
      </c>
      <c r="L146">
        <v>1</v>
      </c>
      <c r="M146">
        <v>341</v>
      </c>
      <c r="N146">
        <v>1074</v>
      </c>
      <c r="O146">
        <v>2069</v>
      </c>
      <c r="P146" s="3" t="str" cm="1">
        <f t="array" ref="P146">_xlfn.XLOOKUP(A146&amp;B146,'[1]Daily Sleep'!$A$2:$A$468&amp;'[1]Daily Sleep'!$B$2:$B$468,'[1]Daily Sleep'!$D$2:$D$468,"")</f>
        <v/>
      </c>
    </row>
    <row r="147" spans="1:16" x14ac:dyDescent="0.35">
      <c r="A147">
        <v>3372868164</v>
      </c>
      <c r="B147" s="1">
        <v>42463</v>
      </c>
      <c r="C147">
        <v>4706</v>
      </c>
      <c r="D147">
        <v>3.21000003814697</v>
      </c>
      <c r="E147">
        <v>3.21000003814697</v>
      </c>
      <c r="F147">
        <v>0</v>
      </c>
      <c r="G147">
        <v>0</v>
      </c>
      <c r="H147">
        <v>0</v>
      </c>
      <c r="I147">
        <v>3.21000003814697</v>
      </c>
      <c r="J147">
        <v>0</v>
      </c>
      <c r="K147">
        <v>0</v>
      </c>
      <c r="L147">
        <v>0</v>
      </c>
      <c r="M147">
        <v>299</v>
      </c>
      <c r="N147">
        <v>1141</v>
      </c>
      <c r="O147">
        <v>1816</v>
      </c>
      <c r="P147" s="3" t="str" cm="1">
        <f t="array" ref="P147">_xlfn.XLOOKUP(A147&amp;B147,'[1]Daily Sleep'!$A$2:$A$468&amp;'[1]Daily Sleep'!$B$2:$B$468,'[1]Daily Sleep'!$D$2:$D$468,"")</f>
        <v/>
      </c>
    </row>
    <row r="148" spans="1:16" x14ac:dyDescent="0.35">
      <c r="A148">
        <v>3372868164</v>
      </c>
      <c r="B148" s="1">
        <v>42464</v>
      </c>
      <c r="C148">
        <v>5861</v>
      </c>
      <c r="D148">
        <v>4.0199999809265101</v>
      </c>
      <c r="E148">
        <v>4.0199999809265101</v>
      </c>
      <c r="F148">
        <v>0</v>
      </c>
      <c r="G148">
        <v>1.29999995231628</v>
      </c>
      <c r="H148">
        <v>0.21999999880790699</v>
      </c>
      <c r="I148">
        <v>2.4900000095367401</v>
      </c>
      <c r="J148">
        <v>9.9999997764825804E-3</v>
      </c>
      <c r="K148">
        <v>20</v>
      </c>
      <c r="L148">
        <v>7</v>
      </c>
      <c r="M148">
        <v>233</v>
      </c>
      <c r="N148">
        <v>1180</v>
      </c>
      <c r="O148">
        <v>1878</v>
      </c>
      <c r="P148" s="3" t="str" cm="1">
        <f t="array" ref="P148">_xlfn.XLOOKUP(A148&amp;B148,'[1]Daily Sleep'!$A$2:$A$468&amp;'[1]Daily Sleep'!$B$2:$B$468,'[1]Daily Sleep'!$D$2:$D$468,"")</f>
        <v/>
      </c>
    </row>
    <row r="149" spans="1:16" x14ac:dyDescent="0.35">
      <c r="A149">
        <v>3372868164</v>
      </c>
      <c r="B149" s="1">
        <v>42465</v>
      </c>
      <c r="C149">
        <v>4460</v>
      </c>
      <c r="D149">
        <v>3.03999996185303</v>
      </c>
      <c r="E149">
        <v>3.03999996185303</v>
      </c>
      <c r="F149">
        <v>0</v>
      </c>
      <c r="G149">
        <v>0</v>
      </c>
      <c r="H149">
        <v>0</v>
      </c>
      <c r="I149">
        <v>3.0199999809265101</v>
      </c>
      <c r="J149">
        <v>2.9999999329447701E-2</v>
      </c>
      <c r="K149">
        <v>0</v>
      </c>
      <c r="L149">
        <v>0</v>
      </c>
      <c r="M149">
        <v>248</v>
      </c>
      <c r="N149">
        <v>1192</v>
      </c>
      <c r="O149">
        <v>1787</v>
      </c>
      <c r="P149" s="3" t="str" cm="1">
        <f t="array" ref="P149">_xlfn.XLOOKUP(A149&amp;B149,'[1]Daily Sleep'!$A$2:$A$468&amp;'[1]Daily Sleep'!$B$2:$B$468,'[1]Daily Sleep'!$D$2:$D$468,"")</f>
        <v/>
      </c>
    </row>
    <row r="150" spans="1:16" x14ac:dyDescent="0.35">
      <c r="A150">
        <v>3372868164</v>
      </c>
      <c r="B150" s="1">
        <v>42466</v>
      </c>
      <c r="C150">
        <v>6406</v>
      </c>
      <c r="D150">
        <v>4.3899998664856001</v>
      </c>
      <c r="E150">
        <v>4.3899998664856001</v>
      </c>
      <c r="F150">
        <v>0</v>
      </c>
      <c r="G150">
        <v>0.77999997138977095</v>
      </c>
      <c r="H150">
        <v>9.00000035762787E-2</v>
      </c>
      <c r="I150">
        <v>3.5199999809265101</v>
      </c>
      <c r="J150">
        <v>9.9999997764825804E-3</v>
      </c>
      <c r="K150">
        <v>17</v>
      </c>
      <c r="L150">
        <v>4</v>
      </c>
      <c r="M150">
        <v>325</v>
      </c>
      <c r="N150">
        <v>1094</v>
      </c>
      <c r="O150">
        <v>2010</v>
      </c>
      <c r="P150" s="3" t="str" cm="1">
        <f t="array" ref="P150">_xlfn.XLOOKUP(A150&amp;B150,'[1]Daily Sleep'!$A$2:$A$468&amp;'[1]Daily Sleep'!$B$2:$B$468,'[1]Daily Sleep'!$D$2:$D$468,"")</f>
        <v/>
      </c>
    </row>
    <row r="151" spans="1:16" x14ac:dyDescent="0.35">
      <c r="A151">
        <v>3372868164</v>
      </c>
      <c r="B151" s="1">
        <v>42467</v>
      </c>
      <c r="C151">
        <v>7392</v>
      </c>
      <c r="D151">
        <v>5.0999999046325701</v>
      </c>
      <c r="E151">
        <v>5.0999999046325701</v>
      </c>
      <c r="F151">
        <v>0</v>
      </c>
      <c r="G151">
        <v>0.87000000476837203</v>
      </c>
      <c r="H151">
        <v>0.15999999642372101</v>
      </c>
      <c r="I151">
        <v>4.0500001907348597</v>
      </c>
      <c r="J151">
        <v>1.9999999552965199E-2</v>
      </c>
      <c r="K151">
        <v>14</v>
      </c>
      <c r="L151">
        <v>9</v>
      </c>
      <c r="M151">
        <v>332</v>
      </c>
      <c r="N151">
        <v>1085</v>
      </c>
      <c r="O151">
        <v>2038</v>
      </c>
      <c r="P151" s="3" t="str" cm="1">
        <f t="array" ref="P151">_xlfn.XLOOKUP(A151&amp;B151,'[1]Daily Sleep'!$A$2:$A$468&amp;'[1]Daily Sleep'!$B$2:$B$468,'[1]Daily Sleep'!$D$2:$D$468,"")</f>
        <v/>
      </c>
    </row>
    <row r="152" spans="1:16" x14ac:dyDescent="0.35">
      <c r="A152">
        <v>3372868164</v>
      </c>
      <c r="B152" s="1">
        <v>42468</v>
      </c>
      <c r="C152">
        <v>5551</v>
      </c>
      <c r="D152">
        <v>3.78999996185303</v>
      </c>
      <c r="E152">
        <v>3.78999996185303</v>
      </c>
      <c r="F152">
        <v>0</v>
      </c>
      <c r="G152">
        <v>0</v>
      </c>
      <c r="H152">
        <v>0</v>
      </c>
      <c r="I152">
        <v>3.7699999809265101</v>
      </c>
      <c r="J152">
        <v>9.9999997764825804E-3</v>
      </c>
      <c r="K152">
        <v>0</v>
      </c>
      <c r="L152">
        <v>0</v>
      </c>
      <c r="M152">
        <v>282</v>
      </c>
      <c r="N152">
        <v>1158</v>
      </c>
      <c r="O152">
        <v>1815</v>
      </c>
      <c r="P152" s="3" t="str" cm="1">
        <f t="array" ref="P152">_xlfn.XLOOKUP(A152&amp;B152,'[1]Daily Sleep'!$A$2:$A$468&amp;'[1]Daily Sleep'!$B$2:$B$468,'[1]Daily Sleep'!$D$2:$D$468,"")</f>
        <v/>
      </c>
    </row>
    <row r="153" spans="1:16" x14ac:dyDescent="0.35">
      <c r="A153">
        <v>3372868164</v>
      </c>
      <c r="B153" s="1">
        <v>42469</v>
      </c>
      <c r="C153">
        <v>8827</v>
      </c>
      <c r="D153">
        <v>6.25</v>
      </c>
      <c r="E153">
        <v>6.25</v>
      </c>
      <c r="F153">
        <v>0</v>
      </c>
      <c r="G153">
        <v>1.7699999809265099</v>
      </c>
      <c r="H153">
        <v>0.479999989271164</v>
      </c>
      <c r="I153">
        <v>4</v>
      </c>
      <c r="J153">
        <v>9.9999997764825804E-3</v>
      </c>
      <c r="K153">
        <v>21</v>
      </c>
      <c r="L153">
        <v>10</v>
      </c>
      <c r="M153">
        <v>346</v>
      </c>
      <c r="N153">
        <v>1063</v>
      </c>
      <c r="O153">
        <v>2062</v>
      </c>
      <c r="P153" s="3" t="str" cm="1">
        <f t="array" ref="P153">_xlfn.XLOOKUP(A153&amp;B153,'[1]Daily Sleep'!$A$2:$A$468&amp;'[1]Daily Sleep'!$B$2:$B$468,'[1]Daily Sleep'!$D$2:$D$468,"")</f>
        <v/>
      </c>
    </row>
    <row r="154" spans="1:16" x14ac:dyDescent="0.35">
      <c r="A154">
        <v>3372868164</v>
      </c>
      <c r="B154" s="1">
        <v>42470</v>
      </c>
      <c r="C154">
        <v>4662</v>
      </c>
      <c r="D154">
        <v>3.1800000667571999</v>
      </c>
      <c r="E154">
        <v>3.1800000667571999</v>
      </c>
      <c r="F154">
        <v>0</v>
      </c>
      <c r="G154">
        <v>1.03999996185303</v>
      </c>
      <c r="H154">
        <v>0.15000000596046401</v>
      </c>
      <c r="I154">
        <v>1.9900000095367401</v>
      </c>
      <c r="J154">
        <v>0</v>
      </c>
      <c r="K154">
        <v>22</v>
      </c>
      <c r="L154">
        <v>4</v>
      </c>
      <c r="M154">
        <v>152</v>
      </c>
      <c r="N154">
        <v>735</v>
      </c>
      <c r="O154">
        <v>1276</v>
      </c>
      <c r="P154" s="3" t="str" cm="1">
        <f t="array" ref="P154">_xlfn.XLOOKUP(A154&amp;B154,'[1]Daily Sleep'!$A$2:$A$468&amp;'[1]Daily Sleep'!$B$2:$B$468,'[1]Daily Sleep'!$D$2:$D$468,"")</f>
        <v/>
      </c>
    </row>
    <row r="155" spans="1:16" x14ac:dyDescent="0.35">
      <c r="A155">
        <v>3977333714</v>
      </c>
      <c r="B155" s="1">
        <v>42461</v>
      </c>
      <c r="C155">
        <v>4499</v>
      </c>
      <c r="D155">
        <v>3.0099999904632599</v>
      </c>
      <c r="E155">
        <v>3.0099999904632599</v>
      </c>
      <c r="F155">
        <v>0</v>
      </c>
      <c r="G155">
        <v>0</v>
      </c>
      <c r="H155">
        <v>0</v>
      </c>
      <c r="I155">
        <v>3.0099999904632599</v>
      </c>
      <c r="J155">
        <v>0</v>
      </c>
      <c r="K155">
        <v>0</v>
      </c>
      <c r="L155">
        <v>0</v>
      </c>
      <c r="M155">
        <v>168</v>
      </c>
      <c r="N155">
        <v>842</v>
      </c>
      <c r="O155">
        <v>1288</v>
      </c>
      <c r="P155" s="3" cm="1">
        <f t="array" ref="P155">_xlfn.XLOOKUP(A155&amp;B155,'[1]Daily Sleep'!$A$2:$A$468&amp;'[1]Daily Sleep'!$B$2:$B$468,'[1]Daily Sleep'!$D$2:$D$468,"")</f>
        <v>4.95</v>
      </c>
    </row>
    <row r="156" spans="1:16" x14ac:dyDescent="0.35">
      <c r="A156">
        <v>3977333714</v>
      </c>
      <c r="B156" s="1">
        <v>42462</v>
      </c>
      <c r="C156">
        <v>7618</v>
      </c>
      <c r="D156">
        <v>5.0999999046325701</v>
      </c>
      <c r="E156">
        <v>5.0999999046325701</v>
      </c>
      <c r="F156">
        <v>0</v>
      </c>
      <c r="G156">
        <v>0</v>
      </c>
      <c r="H156">
        <v>0.18000000715255701</v>
      </c>
      <c r="I156">
        <v>4.9099998474121103</v>
      </c>
      <c r="J156">
        <v>0</v>
      </c>
      <c r="K156">
        <v>0</v>
      </c>
      <c r="L156">
        <v>6</v>
      </c>
      <c r="M156">
        <v>302</v>
      </c>
      <c r="N156">
        <v>842</v>
      </c>
      <c r="O156">
        <v>1490</v>
      </c>
      <c r="P156" s="3" cm="1">
        <f t="array" ref="P156">_xlfn.XLOOKUP(A156&amp;B156,'[1]Daily Sleep'!$A$2:$A$468&amp;'[1]Daily Sleep'!$B$2:$B$468,'[1]Daily Sleep'!$D$2:$D$468,"")</f>
        <v>3.3166666666666669</v>
      </c>
    </row>
    <row r="157" spans="1:16" x14ac:dyDescent="0.35">
      <c r="A157">
        <v>3977333714</v>
      </c>
      <c r="B157" s="1">
        <v>42463</v>
      </c>
      <c r="C157">
        <v>11508</v>
      </c>
      <c r="D157">
        <v>7.6999998092651403</v>
      </c>
      <c r="E157">
        <v>7.6999998092651403</v>
      </c>
      <c r="F157">
        <v>0</v>
      </c>
      <c r="G157">
        <v>2.1700000762939502</v>
      </c>
      <c r="H157">
        <v>0.83999997377395597</v>
      </c>
      <c r="I157">
        <v>4.6900000572204599</v>
      </c>
      <c r="J157">
        <v>0</v>
      </c>
      <c r="K157">
        <v>29</v>
      </c>
      <c r="L157">
        <v>22</v>
      </c>
      <c r="M157">
        <v>282</v>
      </c>
      <c r="N157">
        <v>748</v>
      </c>
      <c r="O157">
        <v>1630</v>
      </c>
      <c r="P157" s="3" cm="1">
        <f t="array" ref="P157">_xlfn.XLOOKUP(A157&amp;B157,'[1]Daily Sleep'!$A$2:$A$468&amp;'[1]Daily Sleep'!$B$2:$B$468,'[1]Daily Sleep'!$D$2:$D$468,"")</f>
        <v>3.7</v>
      </c>
    </row>
    <row r="158" spans="1:16" x14ac:dyDescent="0.35">
      <c r="A158">
        <v>3977333714</v>
      </c>
      <c r="B158" s="1">
        <v>42464</v>
      </c>
      <c r="C158">
        <v>11943</v>
      </c>
      <c r="D158">
        <v>7.9899997711181596</v>
      </c>
      <c r="E158">
        <v>7.9899997711181596</v>
      </c>
      <c r="F158">
        <v>0</v>
      </c>
      <c r="G158">
        <v>1.0299999713897701</v>
      </c>
      <c r="H158">
        <v>2.0099999904632599</v>
      </c>
      <c r="I158">
        <v>4.9499998092651403</v>
      </c>
      <c r="J158">
        <v>0</v>
      </c>
      <c r="K158">
        <v>16</v>
      </c>
      <c r="L158">
        <v>43</v>
      </c>
      <c r="M158">
        <v>297</v>
      </c>
      <c r="N158">
        <v>710</v>
      </c>
      <c r="O158">
        <v>1648</v>
      </c>
      <c r="P158" s="3" cm="1">
        <f t="array" ref="P158">_xlfn.XLOOKUP(A158&amp;B158,'[1]Daily Sleep'!$A$2:$A$468&amp;'[1]Daily Sleep'!$B$2:$B$468,'[1]Daily Sleep'!$D$2:$D$468,"")</f>
        <v>3.4166666666666665</v>
      </c>
    </row>
    <row r="159" spans="1:16" x14ac:dyDescent="0.35">
      <c r="A159">
        <v>3977333714</v>
      </c>
      <c r="B159" s="1">
        <v>42465</v>
      </c>
      <c r="C159">
        <v>12303</v>
      </c>
      <c r="D159">
        <v>8.2299995422363299</v>
      </c>
      <c r="E159">
        <v>8.2299995422363299</v>
      </c>
      <c r="F159">
        <v>0</v>
      </c>
      <c r="G159">
        <v>1.71000003814697</v>
      </c>
      <c r="H159">
        <v>1.3500000238418599</v>
      </c>
      <c r="I159">
        <v>5.1700000762939498</v>
      </c>
      <c r="J159">
        <v>0</v>
      </c>
      <c r="K159">
        <v>26</v>
      </c>
      <c r="L159">
        <v>32</v>
      </c>
      <c r="M159">
        <v>291</v>
      </c>
      <c r="N159">
        <v>605</v>
      </c>
      <c r="O159">
        <v>1649</v>
      </c>
      <c r="P159" s="3" cm="1">
        <f t="array" ref="P159">_xlfn.XLOOKUP(A159&amp;B159,'[1]Daily Sleep'!$A$2:$A$468&amp;'[1]Daily Sleep'!$B$2:$B$468,'[1]Daily Sleep'!$D$2:$D$468,"")</f>
        <v>6.3</v>
      </c>
    </row>
    <row r="160" spans="1:16" x14ac:dyDescent="0.35">
      <c r="A160">
        <v>3977333714</v>
      </c>
      <c r="B160" s="1">
        <v>42466</v>
      </c>
      <c r="C160">
        <v>15425</v>
      </c>
      <c r="D160">
        <v>10.319999694824199</v>
      </c>
      <c r="E160">
        <v>10.319999694824199</v>
      </c>
      <c r="F160">
        <v>0</v>
      </c>
      <c r="G160">
        <v>1.62000000476837</v>
      </c>
      <c r="H160">
        <v>1.8200000524520901</v>
      </c>
      <c r="I160">
        <v>6.8699998855590803</v>
      </c>
      <c r="J160">
        <v>0</v>
      </c>
      <c r="K160">
        <v>24</v>
      </c>
      <c r="L160">
        <v>45</v>
      </c>
      <c r="M160">
        <v>331</v>
      </c>
      <c r="N160">
        <v>614</v>
      </c>
      <c r="O160">
        <v>1783</v>
      </c>
      <c r="P160" s="3" cm="1">
        <f t="array" ref="P160">_xlfn.XLOOKUP(A160&amp;B160,'[1]Daily Sleep'!$A$2:$A$468&amp;'[1]Daily Sleep'!$B$2:$B$468,'[1]Daily Sleep'!$D$2:$D$468,"")</f>
        <v>4.9333333333333336</v>
      </c>
    </row>
    <row r="161" spans="1:16" x14ac:dyDescent="0.35">
      <c r="A161">
        <v>3977333714</v>
      </c>
      <c r="B161" s="1">
        <v>42467</v>
      </c>
      <c r="C161">
        <v>8422</v>
      </c>
      <c r="D161">
        <v>5.6300001144409197</v>
      </c>
      <c r="E161">
        <v>5.6300001144409197</v>
      </c>
      <c r="F161">
        <v>0</v>
      </c>
      <c r="G161">
        <v>0</v>
      </c>
      <c r="H161">
        <v>3.5999999046325701</v>
      </c>
      <c r="I161">
        <v>2.03999996185303</v>
      </c>
      <c r="J161">
        <v>0</v>
      </c>
      <c r="K161">
        <v>0</v>
      </c>
      <c r="L161">
        <v>81</v>
      </c>
      <c r="M161">
        <v>139</v>
      </c>
      <c r="N161">
        <v>815</v>
      </c>
      <c r="O161">
        <v>1431</v>
      </c>
      <c r="P161" s="3" cm="1">
        <f t="array" ref="P161">_xlfn.XLOOKUP(A161&amp;B161,'[1]Daily Sleep'!$A$2:$A$468&amp;'[1]Daily Sleep'!$B$2:$B$468,'[1]Daily Sleep'!$D$2:$D$468,"")</f>
        <v>3.6833333333333331</v>
      </c>
    </row>
    <row r="162" spans="1:16" x14ac:dyDescent="0.35">
      <c r="A162">
        <v>3977333714</v>
      </c>
      <c r="B162" s="1">
        <v>42468</v>
      </c>
      <c r="C162">
        <v>10226</v>
      </c>
      <c r="D162">
        <v>6.8400001525878897</v>
      </c>
      <c r="E162">
        <v>6.8400001525878897</v>
      </c>
      <c r="F162">
        <v>0</v>
      </c>
      <c r="G162">
        <v>0</v>
      </c>
      <c r="H162">
        <v>4.4400000572204599</v>
      </c>
      <c r="I162">
        <v>2.4000000953674299</v>
      </c>
      <c r="J162">
        <v>0</v>
      </c>
      <c r="K162">
        <v>0</v>
      </c>
      <c r="L162">
        <v>101</v>
      </c>
      <c r="M162">
        <v>174</v>
      </c>
      <c r="N162">
        <v>685</v>
      </c>
      <c r="O162">
        <v>1524</v>
      </c>
      <c r="P162" s="3" cm="1">
        <f t="array" ref="P162">_xlfn.XLOOKUP(A162&amp;B162,'[1]Daily Sleep'!$A$2:$A$468&amp;'[1]Daily Sleep'!$B$2:$B$468,'[1]Daily Sleep'!$D$2:$D$468,"")</f>
        <v>5.083333333333333</v>
      </c>
    </row>
    <row r="163" spans="1:16" x14ac:dyDescent="0.35">
      <c r="A163">
        <v>3977333714</v>
      </c>
      <c r="B163" s="1">
        <v>42469</v>
      </c>
      <c r="C163">
        <v>14583</v>
      </c>
      <c r="D163">
        <v>9.7600002288818395</v>
      </c>
      <c r="E163">
        <v>9.7600002288818395</v>
      </c>
      <c r="F163">
        <v>0</v>
      </c>
      <c r="G163">
        <v>2.4800000190734899</v>
      </c>
      <c r="H163">
        <v>1.7400000095367401</v>
      </c>
      <c r="I163">
        <v>5.5300002098083496</v>
      </c>
      <c r="J163">
        <v>0</v>
      </c>
      <c r="K163">
        <v>35</v>
      </c>
      <c r="L163">
        <v>36</v>
      </c>
      <c r="M163">
        <v>254</v>
      </c>
      <c r="N163">
        <v>697</v>
      </c>
      <c r="O163">
        <v>1697</v>
      </c>
      <c r="P163" s="3" cm="1">
        <f t="array" ref="P163">_xlfn.XLOOKUP(A163&amp;B163,'[1]Daily Sleep'!$A$2:$A$468&amp;'[1]Daily Sleep'!$B$2:$B$468,'[1]Daily Sleep'!$D$2:$D$468,"")</f>
        <v>4.55</v>
      </c>
    </row>
    <row r="164" spans="1:16" x14ac:dyDescent="0.35">
      <c r="A164">
        <v>3977333714</v>
      </c>
      <c r="B164" s="1">
        <v>42470</v>
      </c>
      <c r="C164">
        <v>3573</v>
      </c>
      <c r="D164">
        <v>2.3900001049041699</v>
      </c>
      <c r="E164">
        <v>2.3900001049041699</v>
      </c>
      <c r="F164">
        <v>0</v>
      </c>
      <c r="G164">
        <v>0.93999999761581399</v>
      </c>
      <c r="H164">
        <v>0.40999999642372098</v>
      </c>
      <c r="I164">
        <v>0.97000002861022905</v>
      </c>
      <c r="J164">
        <v>0</v>
      </c>
      <c r="K164">
        <v>15</v>
      </c>
      <c r="L164">
        <v>8</v>
      </c>
      <c r="M164">
        <v>99</v>
      </c>
      <c r="N164">
        <v>866</v>
      </c>
      <c r="O164">
        <v>1232</v>
      </c>
      <c r="P164" s="3" cm="1">
        <f t="array" ref="P164">_xlfn.XLOOKUP(A164&amp;B164,'[1]Daily Sleep'!$A$2:$A$468&amp;'[1]Daily Sleep'!$B$2:$B$468,'[1]Daily Sleep'!$D$2:$D$468,"")</f>
        <v>4.8833333333333337</v>
      </c>
    </row>
    <row r="165" spans="1:16" x14ac:dyDescent="0.35">
      <c r="A165">
        <v>3977333714</v>
      </c>
      <c r="B165" s="1">
        <v>42471</v>
      </c>
      <c r="C165">
        <v>3108</v>
      </c>
      <c r="D165">
        <v>2.1400001049041699</v>
      </c>
      <c r="E165">
        <v>2.1400001049041699</v>
      </c>
      <c r="F165">
        <v>0</v>
      </c>
      <c r="G165">
        <v>7.0000000298023196E-2</v>
      </c>
      <c r="H165">
        <v>3.9999999105930301E-2</v>
      </c>
      <c r="I165">
        <v>1.96000003814697</v>
      </c>
      <c r="J165">
        <v>0</v>
      </c>
      <c r="K165">
        <v>1</v>
      </c>
      <c r="L165">
        <v>1</v>
      </c>
      <c r="M165">
        <v>129</v>
      </c>
      <c r="N165">
        <v>894</v>
      </c>
      <c r="O165">
        <v>1223</v>
      </c>
      <c r="P165" s="3" cm="1">
        <f t="array" ref="P165">_xlfn.XLOOKUP(A165&amp;B165,'[1]Daily Sleep'!$A$2:$A$468&amp;'[1]Daily Sleep'!$B$2:$B$468,'[1]Daily Sleep'!$D$2:$D$468,"")</f>
        <v>4.7</v>
      </c>
    </row>
    <row r="166" spans="1:16" x14ac:dyDescent="0.35">
      <c r="A166">
        <v>3977333714</v>
      </c>
      <c r="B166" s="1">
        <v>42472</v>
      </c>
      <c r="C166">
        <v>759</v>
      </c>
      <c r="D166">
        <v>0.56999999284744296</v>
      </c>
      <c r="E166">
        <v>0.56999999284744296</v>
      </c>
      <c r="F166">
        <v>0</v>
      </c>
      <c r="G166">
        <v>0</v>
      </c>
      <c r="H166">
        <v>0</v>
      </c>
      <c r="I166">
        <v>0.56999999284744296</v>
      </c>
      <c r="J166">
        <v>0</v>
      </c>
      <c r="K166">
        <v>0</v>
      </c>
      <c r="L166">
        <v>0</v>
      </c>
      <c r="M166">
        <v>17</v>
      </c>
      <c r="N166">
        <v>187</v>
      </c>
      <c r="O166">
        <v>182</v>
      </c>
      <c r="P166" s="3" t="str" cm="1">
        <f t="array" ref="P166">_xlfn.XLOOKUP(A166&amp;B166,'[1]Daily Sleep'!$A$2:$A$468&amp;'[1]Daily Sleep'!$B$2:$B$468,'[1]Daily Sleep'!$D$2:$D$468,"")</f>
        <v/>
      </c>
    </row>
    <row r="167" spans="1:16" x14ac:dyDescent="0.35">
      <c r="A167">
        <v>4020332650</v>
      </c>
      <c r="B167" s="1">
        <v>42441</v>
      </c>
      <c r="C167">
        <v>5543</v>
      </c>
      <c r="D167">
        <v>3.9700000286102299</v>
      </c>
      <c r="E167">
        <v>3.9700000286102299</v>
      </c>
      <c r="F167">
        <v>0</v>
      </c>
      <c r="G167">
        <v>0</v>
      </c>
      <c r="H167">
        <v>0</v>
      </c>
      <c r="I167">
        <v>3.96000003814697</v>
      </c>
      <c r="J167">
        <v>9.9999997764825804E-3</v>
      </c>
      <c r="K167">
        <v>0</v>
      </c>
      <c r="L167">
        <v>0</v>
      </c>
      <c r="M167">
        <v>254</v>
      </c>
      <c r="N167">
        <v>757</v>
      </c>
      <c r="O167">
        <v>2990</v>
      </c>
      <c r="P167" s="3" cm="1">
        <f t="array" ref="P167">_xlfn.XLOOKUP(A167&amp;B167,'[1]Daily Sleep'!$A$2:$A$468&amp;'[1]Daily Sleep'!$B$2:$B$468,'[1]Daily Sleep'!$D$2:$D$468,"")</f>
        <v>6.4</v>
      </c>
    </row>
    <row r="168" spans="1:16" x14ac:dyDescent="0.35">
      <c r="A168">
        <v>4020332650</v>
      </c>
      <c r="B168" s="1">
        <v>42442</v>
      </c>
      <c r="C168">
        <v>3226</v>
      </c>
      <c r="D168">
        <v>2.3099999427795401</v>
      </c>
      <c r="E168">
        <v>2.3099999427795401</v>
      </c>
      <c r="F168">
        <v>0</v>
      </c>
      <c r="G168">
        <v>0</v>
      </c>
      <c r="H168">
        <v>0</v>
      </c>
      <c r="I168">
        <v>2.2799999713897701</v>
      </c>
      <c r="J168">
        <v>0</v>
      </c>
      <c r="K168">
        <v>0</v>
      </c>
      <c r="L168">
        <v>0</v>
      </c>
      <c r="M168">
        <v>136</v>
      </c>
      <c r="N168">
        <v>771</v>
      </c>
      <c r="O168">
        <v>2480</v>
      </c>
      <c r="P168" s="3" cm="1">
        <f t="array" ref="P168">_xlfn.XLOOKUP(A168&amp;B168,'[1]Daily Sleep'!$A$2:$A$468&amp;'[1]Daily Sleep'!$B$2:$B$468,'[1]Daily Sleep'!$D$2:$D$468,"")</f>
        <v>8.4166666666666661</v>
      </c>
    </row>
    <row r="169" spans="1:16" x14ac:dyDescent="0.35">
      <c r="A169">
        <v>4020332650</v>
      </c>
      <c r="B169" s="1">
        <v>42443</v>
      </c>
      <c r="C169">
        <v>3023</v>
      </c>
      <c r="D169">
        <v>2.1700000762939502</v>
      </c>
      <c r="E169">
        <v>2.1700000762939502</v>
      </c>
      <c r="F169">
        <v>0</v>
      </c>
      <c r="G169">
        <v>0</v>
      </c>
      <c r="H169">
        <v>0</v>
      </c>
      <c r="I169">
        <v>2.1400001049041699</v>
      </c>
      <c r="J169">
        <v>0</v>
      </c>
      <c r="K169">
        <v>0</v>
      </c>
      <c r="L169">
        <v>0</v>
      </c>
      <c r="M169">
        <v>145</v>
      </c>
      <c r="N169">
        <v>1005</v>
      </c>
      <c r="O169">
        <v>2570</v>
      </c>
      <c r="P169" s="3" cm="1">
        <f t="array" ref="P169">_xlfn.XLOOKUP(A169&amp;B169,'[1]Daily Sleep'!$A$2:$A$468&amp;'[1]Daily Sleep'!$B$2:$B$468,'[1]Daily Sleep'!$D$2:$D$468,"")</f>
        <v>4.416666666666667</v>
      </c>
    </row>
    <row r="170" spans="1:16" x14ac:dyDescent="0.35">
      <c r="A170">
        <v>4020332650</v>
      </c>
      <c r="B170" s="1">
        <v>42444</v>
      </c>
      <c r="C170">
        <v>5906</v>
      </c>
      <c r="D170">
        <v>4.2300000190734899</v>
      </c>
      <c r="E170">
        <v>4.2300000190734899</v>
      </c>
      <c r="F170">
        <v>0</v>
      </c>
      <c r="G170">
        <v>0</v>
      </c>
      <c r="H170">
        <v>0.15999999642372101</v>
      </c>
      <c r="I170">
        <v>4.03999996185303</v>
      </c>
      <c r="J170">
        <v>0</v>
      </c>
      <c r="K170">
        <v>0</v>
      </c>
      <c r="L170">
        <v>10</v>
      </c>
      <c r="M170">
        <v>215</v>
      </c>
      <c r="N170">
        <v>874</v>
      </c>
      <c r="O170">
        <v>3016</v>
      </c>
      <c r="P170" s="3" cm="1">
        <f t="array" ref="P170">_xlfn.XLOOKUP(A170&amp;B170,'[1]Daily Sleep'!$A$2:$A$468&amp;'[1]Daily Sleep'!$B$2:$B$468,'[1]Daily Sleep'!$D$2:$D$468,"")</f>
        <v>5.5166666666666666</v>
      </c>
    </row>
    <row r="171" spans="1:16" x14ac:dyDescent="0.35">
      <c r="A171">
        <v>4020332650</v>
      </c>
      <c r="B171" s="1">
        <v>42445</v>
      </c>
      <c r="C171">
        <v>12483</v>
      </c>
      <c r="D171">
        <v>8.9899997711181605</v>
      </c>
      <c r="E171">
        <v>8.9899997711181605</v>
      </c>
      <c r="F171">
        <v>0</v>
      </c>
      <c r="G171">
        <v>1.45000004768372</v>
      </c>
      <c r="H171">
        <v>0.56999999284744296</v>
      </c>
      <c r="I171">
        <v>6.9000000953674299</v>
      </c>
      <c r="J171">
        <v>0</v>
      </c>
      <c r="K171">
        <v>25</v>
      </c>
      <c r="L171">
        <v>14</v>
      </c>
      <c r="M171">
        <v>309</v>
      </c>
      <c r="N171">
        <v>599</v>
      </c>
      <c r="O171">
        <v>3830</v>
      </c>
      <c r="P171" s="3" cm="1">
        <f t="array" ref="P171">_xlfn.XLOOKUP(A171&amp;B171,'[1]Daily Sleep'!$A$2:$A$468&amp;'[1]Daily Sleep'!$B$2:$B$468,'[1]Daily Sleep'!$D$2:$D$468,"")</f>
        <v>7.65</v>
      </c>
    </row>
    <row r="172" spans="1:16" x14ac:dyDescent="0.35">
      <c r="A172">
        <v>4020332650</v>
      </c>
      <c r="B172" s="1">
        <v>42446</v>
      </c>
      <c r="C172">
        <v>8940</v>
      </c>
      <c r="D172">
        <v>6.4099998474121103</v>
      </c>
      <c r="E172">
        <v>6.4099998474121103</v>
      </c>
      <c r="F172">
        <v>0</v>
      </c>
      <c r="G172">
        <v>0</v>
      </c>
      <c r="H172">
        <v>0</v>
      </c>
      <c r="I172">
        <v>0.61000001430511497</v>
      </c>
      <c r="J172">
        <v>3.9999999105930301E-2</v>
      </c>
      <c r="K172">
        <v>0</v>
      </c>
      <c r="L172">
        <v>0</v>
      </c>
      <c r="M172">
        <v>47</v>
      </c>
      <c r="N172">
        <v>986</v>
      </c>
      <c r="O172">
        <v>3706</v>
      </c>
      <c r="P172" s="3" cm="1">
        <f t="array" ref="P172">_xlfn.XLOOKUP(A172&amp;B172,'[1]Daily Sleep'!$A$2:$A$468&amp;'[1]Daily Sleep'!$B$2:$B$468,'[1]Daily Sleep'!$D$2:$D$468,"")</f>
        <v>6.2333333333333334</v>
      </c>
    </row>
    <row r="173" spans="1:16" x14ac:dyDescent="0.35">
      <c r="A173">
        <v>4020332650</v>
      </c>
      <c r="B173" s="1">
        <v>42447</v>
      </c>
      <c r="C173">
        <v>368</v>
      </c>
      <c r="D173">
        <v>0.259999990463257</v>
      </c>
      <c r="E173">
        <v>0.259999990463257</v>
      </c>
      <c r="F173">
        <v>0</v>
      </c>
      <c r="G173">
        <v>0</v>
      </c>
      <c r="H173">
        <v>0</v>
      </c>
      <c r="I173">
        <v>0</v>
      </c>
      <c r="J173">
        <v>0</v>
      </c>
      <c r="K173">
        <v>0</v>
      </c>
      <c r="L173">
        <v>0</v>
      </c>
      <c r="M173">
        <v>0</v>
      </c>
      <c r="N173">
        <v>1440</v>
      </c>
      <c r="O173">
        <v>2024</v>
      </c>
      <c r="P173" s="3" t="str" cm="1">
        <f t="array" ref="P173">_xlfn.XLOOKUP(A173&amp;B173,'[1]Daily Sleep'!$A$2:$A$468&amp;'[1]Daily Sleep'!$B$2:$B$468,'[1]Daily Sleep'!$D$2:$D$468,"")</f>
        <v/>
      </c>
    </row>
    <row r="174" spans="1:16" x14ac:dyDescent="0.35">
      <c r="A174">
        <v>4020332650</v>
      </c>
      <c r="B174" s="1">
        <v>42448</v>
      </c>
      <c r="C174">
        <v>5702</v>
      </c>
      <c r="D174">
        <v>4.0900001525878897</v>
      </c>
      <c r="E174">
        <v>4.0900001525878897</v>
      </c>
      <c r="F174">
        <v>0</v>
      </c>
      <c r="G174">
        <v>0</v>
      </c>
      <c r="H174">
        <v>0</v>
      </c>
      <c r="I174">
        <v>0</v>
      </c>
      <c r="J174">
        <v>0</v>
      </c>
      <c r="K174">
        <v>0</v>
      </c>
      <c r="L174">
        <v>0</v>
      </c>
      <c r="M174">
        <v>0</v>
      </c>
      <c r="N174">
        <v>1440</v>
      </c>
      <c r="O174">
        <v>2980</v>
      </c>
      <c r="P174" s="3" t="str" cm="1">
        <f t="array" ref="P174">_xlfn.XLOOKUP(A174&amp;B174,'[1]Daily Sleep'!$A$2:$A$468&amp;'[1]Daily Sleep'!$B$2:$B$468,'[1]Daily Sleep'!$D$2:$D$468,"")</f>
        <v/>
      </c>
    </row>
    <row r="175" spans="1:16" x14ac:dyDescent="0.35">
      <c r="A175">
        <v>4020332650</v>
      </c>
      <c r="B175" s="1">
        <v>42449</v>
      </c>
      <c r="C175">
        <v>10330</v>
      </c>
      <c r="D175">
        <v>7.4099998474121103</v>
      </c>
      <c r="E175">
        <v>7.4099998474121103</v>
      </c>
      <c r="F175">
        <v>0</v>
      </c>
      <c r="G175">
        <v>0</v>
      </c>
      <c r="H175">
        <v>0</v>
      </c>
      <c r="I175">
        <v>0</v>
      </c>
      <c r="J175">
        <v>0</v>
      </c>
      <c r="K175">
        <v>0</v>
      </c>
      <c r="L175">
        <v>0</v>
      </c>
      <c r="M175">
        <v>0</v>
      </c>
      <c r="N175">
        <v>1440</v>
      </c>
      <c r="O175">
        <v>3728</v>
      </c>
      <c r="P175" s="3" t="str" cm="1">
        <f t="array" ref="P175">_xlfn.XLOOKUP(A175&amp;B175,'[1]Daily Sleep'!$A$2:$A$468&amp;'[1]Daily Sleep'!$B$2:$B$468,'[1]Daily Sleep'!$D$2:$D$468,"")</f>
        <v/>
      </c>
    </row>
    <row r="176" spans="1:16" x14ac:dyDescent="0.35">
      <c r="A176">
        <v>4020332650</v>
      </c>
      <c r="B176" s="1">
        <v>42450</v>
      </c>
      <c r="C176">
        <v>8778</v>
      </c>
      <c r="D176">
        <v>6.28999996185303</v>
      </c>
      <c r="E176">
        <v>6.28999996185303</v>
      </c>
      <c r="F176">
        <v>0</v>
      </c>
      <c r="G176">
        <v>0</v>
      </c>
      <c r="H176">
        <v>0</v>
      </c>
      <c r="I176">
        <v>0</v>
      </c>
      <c r="J176">
        <v>0</v>
      </c>
      <c r="K176">
        <v>0</v>
      </c>
      <c r="L176">
        <v>0</v>
      </c>
      <c r="M176">
        <v>0</v>
      </c>
      <c r="N176">
        <v>1440</v>
      </c>
      <c r="O176">
        <v>3348</v>
      </c>
      <c r="P176" s="3" t="str" cm="1">
        <f t="array" ref="P176">_xlfn.XLOOKUP(A176&amp;B176,'[1]Daily Sleep'!$A$2:$A$468&amp;'[1]Daily Sleep'!$B$2:$B$468,'[1]Daily Sleep'!$D$2:$D$468,"")</f>
        <v/>
      </c>
    </row>
    <row r="177" spans="1:16" x14ac:dyDescent="0.35">
      <c r="A177">
        <v>4020332650</v>
      </c>
      <c r="B177" s="1">
        <v>42451</v>
      </c>
      <c r="C177">
        <v>6662</v>
      </c>
      <c r="D177">
        <v>4.7800002098083496</v>
      </c>
      <c r="E177">
        <v>4.7800002098083496</v>
      </c>
      <c r="F177">
        <v>0</v>
      </c>
      <c r="G177">
        <v>0</v>
      </c>
      <c r="H177">
        <v>0</v>
      </c>
      <c r="I177">
        <v>0</v>
      </c>
      <c r="J177">
        <v>0</v>
      </c>
      <c r="K177">
        <v>0</v>
      </c>
      <c r="L177">
        <v>0</v>
      </c>
      <c r="M177">
        <v>0</v>
      </c>
      <c r="N177">
        <v>1440</v>
      </c>
      <c r="O177">
        <v>3162</v>
      </c>
      <c r="P177" s="3" t="str" cm="1">
        <f t="array" ref="P177">_xlfn.XLOOKUP(A177&amp;B177,'[1]Daily Sleep'!$A$2:$A$468&amp;'[1]Daily Sleep'!$B$2:$B$468,'[1]Daily Sleep'!$D$2:$D$468,"")</f>
        <v/>
      </c>
    </row>
    <row r="178" spans="1:16" x14ac:dyDescent="0.35">
      <c r="A178">
        <v>4020332650</v>
      </c>
      <c r="B178" s="1">
        <v>42452</v>
      </c>
      <c r="C178">
        <v>6309</v>
      </c>
      <c r="D178">
        <v>4.5199999809265101</v>
      </c>
      <c r="E178">
        <v>4.5199999809265101</v>
      </c>
      <c r="F178">
        <v>0</v>
      </c>
      <c r="G178">
        <v>0</v>
      </c>
      <c r="H178">
        <v>0</v>
      </c>
      <c r="I178">
        <v>0</v>
      </c>
      <c r="J178">
        <v>0</v>
      </c>
      <c r="K178">
        <v>0</v>
      </c>
      <c r="L178">
        <v>0</v>
      </c>
      <c r="M178">
        <v>0</v>
      </c>
      <c r="N178">
        <v>1440</v>
      </c>
      <c r="O178">
        <v>3140</v>
      </c>
      <c r="P178" s="3" t="str" cm="1">
        <f t="array" ref="P178">_xlfn.XLOOKUP(A178&amp;B178,'[1]Daily Sleep'!$A$2:$A$468&amp;'[1]Daily Sleep'!$B$2:$B$468,'[1]Daily Sleep'!$D$2:$D$468,"")</f>
        <v/>
      </c>
    </row>
    <row r="179" spans="1:16" x14ac:dyDescent="0.35">
      <c r="A179">
        <v>4020332650</v>
      </c>
      <c r="B179" s="1">
        <v>42453</v>
      </c>
      <c r="C179">
        <v>1951</v>
      </c>
      <c r="D179">
        <v>1.4099999666214</v>
      </c>
      <c r="E179">
        <v>1.4099999666214</v>
      </c>
      <c r="F179">
        <v>0</v>
      </c>
      <c r="G179">
        <v>0</v>
      </c>
      <c r="H179">
        <v>0</v>
      </c>
      <c r="I179">
        <v>0</v>
      </c>
      <c r="J179">
        <v>0</v>
      </c>
      <c r="K179">
        <v>0</v>
      </c>
      <c r="L179">
        <v>0</v>
      </c>
      <c r="M179">
        <v>0</v>
      </c>
      <c r="N179">
        <v>1440</v>
      </c>
      <c r="O179">
        <v>1980</v>
      </c>
      <c r="P179" s="3" t="str" cm="1">
        <f t="array" ref="P179">_xlfn.XLOOKUP(A179&amp;B179,'[1]Daily Sleep'!$A$2:$A$468&amp;'[1]Daily Sleep'!$B$2:$B$468,'[1]Daily Sleep'!$D$2:$D$468,"")</f>
        <v/>
      </c>
    </row>
    <row r="180" spans="1:16" x14ac:dyDescent="0.35">
      <c r="A180">
        <v>4020332650</v>
      </c>
      <c r="B180" s="1">
        <v>42454</v>
      </c>
      <c r="C180">
        <v>5563</v>
      </c>
      <c r="D180">
        <v>3.9900000095367401</v>
      </c>
      <c r="E180">
        <v>3.9900000095367401</v>
      </c>
      <c r="F180">
        <v>0</v>
      </c>
      <c r="G180">
        <v>0</v>
      </c>
      <c r="H180">
        <v>0</v>
      </c>
      <c r="I180">
        <v>0</v>
      </c>
      <c r="J180">
        <v>0</v>
      </c>
      <c r="K180">
        <v>0</v>
      </c>
      <c r="L180">
        <v>0</v>
      </c>
      <c r="M180">
        <v>0</v>
      </c>
      <c r="N180">
        <v>1440</v>
      </c>
      <c r="O180">
        <v>3681</v>
      </c>
      <c r="P180" s="3" t="str" cm="1">
        <f t="array" ref="P180">_xlfn.XLOOKUP(A180&amp;B180,'[1]Daily Sleep'!$A$2:$A$468&amp;'[1]Daily Sleep'!$B$2:$B$468,'[1]Daily Sleep'!$D$2:$D$468,"")</f>
        <v/>
      </c>
    </row>
    <row r="181" spans="1:16" x14ac:dyDescent="0.35">
      <c r="A181">
        <v>4020332650</v>
      </c>
      <c r="B181" s="1">
        <v>42455</v>
      </c>
      <c r="C181">
        <v>4370</v>
      </c>
      <c r="D181">
        <v>3.1300001144409202</v>
      </c>
      <c r="E181">
        <v>3.1300001144409202</v>
      </c>
      <c r="F181">
        <v>0</v>
      </c>
      <c r="G181">
        <v>0</v>
      </c>
      <c r="H181">
        <v>0</v>
      </c>
      <c r="I181">
        <v>0</v>
      </c>
      <c r="J181">
        <v>0</v>
      </c>
      <c r="K181">
        <v>0</v>
      </c>
      <c r="L181">
        <v>0</v>
      </c>
      <c r="M181">
        <v>0</v>
      </c>
      <c r="N181">
        <v>1440</v>
      </c>
      <c r="O181">
        <v>3444</v>
      </c>
      <c r="P181" s="3" t="str" cm="1">
        <f t="array" ref="P181">_xlfn.XLOOKUP(A181&amp;B181,'[1]Daily Sleep'!$A$2:$A$468&amp;'[1]Daily Sleep'!$B$2:$B$468,'[1]Daily Sleep'!$D$2:$D$468,"")</f>
        <v/>
      </c>
    </row>
    <row r="182" spans="1:16" x14ac:dyDescent="0.35">
      <c r="A182">
        <v>4020332650</v>
      </c>
      <c r="B182" s="1">
        <v>42456</v>
      </c>
      <c r="C182">
        <v>7144</v>
      </c>
      <c r="D182">
        <v>5.1199998855590803</v>
      </c>
      <c r="E182">
        <v>5.1199998855590803</v>
      </c>
      <c r="F182">
        <v>0</v>
      </c>
      <c r="G182">
        <v>0</v>
      </c>
      <c r="H182">
        <v>0</v>
      </c>
      <c r="I182">
        <v>0</v>
      </c>
      <c r="J182">
        <v>0</v>
      </c>
      <c r="K182">
        <v>0</v>
      </c>
      <c r="L182">
        <v>0</v>
      </c>
      <c r="M182">
        <v>0</v>
      </c>
      <c r="N182">
        <v>1440</v>
      </c>
      <c r="O182">
        <v>3510</v>
      </c>
      <c r="P182" s="3" t="str" cm="1">
        <f t="array" ref="P182">_xlfn.XLOOKUP(A182&amp;B182,'[1]Daily Sleep'!$A$2:$A$468&amp;'[1]Daily Sleep'!$B$2:$B$468,'[1]Daily Sleep'!$D$2:$D$468,"")</f>
        <v/>
      </c>
    </row>
    <row r="183" spans="1:16" x14ac:dyDescent="0.35">
      <c r="A183">
        <v>4020332650</v>
      </c>
      <c r="B183" s="1">
        <v>42457</v>
      </c>
      <c r="C183">
        <v>2106</v>
      </c>
      <c r="D183">
        <v>1.5099999904632599</v>
      </c>
      <c r="E183">
        <v>1.5099999904632599</v>
      </c>
      <c r="F183">
        <v>0</v>
      </c>
      <c r="G183">
        <v>1.9999999552965199E-2</v>
      </c>
      <c r="H183">
        <v>5.0000000745058101E-2</v>
      </c>
      <c r="I183">
        <v>0.20999999344348899</v>
      </c>
      <c r="J183">
        <v>0</v>
      </c>
      <c r="K183">
        <v>31</v>
      </c>
      <c r="L183">
        <v>45</v>
      </c>
      <c r="M183">
        <v>75</v>
      </c>
      <c r="N183">
        <v>1289</v>
      </c>
      <c r="O183">
        <v>4010</v>
      </c>
      <c r="P183" s="3" t="str" cm="1">
        <f t="array" ref="P183">_xlfn.XLOOKUP(A183&amp;B183,'[1]Daily Sleep'!$A$2:$A$468&amp;'[1]Daily Sleep'!$B$2:$B$468,'[1]Daily Sleep'!$D$2:$D$468,"")</f>
        <v/>
      </c>
    </row>
    <row r="184" spans="1:16" x14ac:dyDescent="0.35">
      <c r="A184">
        <v>4020332650</v>
      </c>
      <c r="B184" s="1">
        <v>42458</v>
      </c>
      <c r="C184">
        <v>4152</v>
      </c>
      <c r="D184">
        <v>2.9800000190734899</v>
      </c>
      <c r="E184">
        <v>2.9800000190734899</v>
      </c>
      <c r="F184">
        <v>0</v>
      </c>
      <c r="G184">
        <v>0</v>
      </c>
      <c r="H184">
        <v>0</v>
      </c>
      <c r="I184">
        <v>2.96000003814697</v>
      </c>
      <c r="J184">
        <v>0</v>
      </c>
      <c r="K184">
        <v>0</v>
      </c>
      <c r="L184">
        <v>0</v>
      </c>
      <c r="M184">
        <v>187</v>
      </c>
      <c r="N184">
        <v>1253</v>
      </c>
      <c r="O184">
        <v>2976</v>
      </c>
      <c r="P184" s="3" t="str" cm="1">
        <f t="array" ref="P184">_xlfn.XLOOKUP(A184&amp;B184,'[1]Daily Sleep'!$A$2:$A$468&amp;'[1]Daily Sleep'!$B$2:$B$468,'[1]Daily Sleep'!$D$2:$D$468,"")</f>
        <v/>
      </c>
    </row>
    <row r="185" spans="1:16" x14ac:dyDescent="0.35">
      <c r="A185">
        <v>4020332650</v>
      </c>
      <c r="B185" s="1">
        <v>42459</v>
      </c>
      <c r="C185">
        <v>5400</v>
      </c>
      <c r="D185">
        <v>3.8699998855590798</v>
      </c>
      <c r="E185">
        <v>3.8699998855590798</v>
      </c>
      <c r="F185">
        <v>0</v>
      </c>
      <c r="G185">
        <v>0</v>
      </c>
      <c r="H185">
        <v>0</v>
      </c>
      <c r="I185">
        <v>3.8499999046325701</v>
      </c>
      <c r="J185">
        <v>0</v>
      </c>
      <c r="K185">
        <v>0</v>
      </c>
      <c r="L185">
        <v>0</v>
      </c>
      <c r="M185">
        <v>258</v>
      </c>
      <c r="N185">
        <v>795</v>
      </c>
      <c r="O185">
        <v>3418</v>
      </c>
      <c r="P185" s="3" cm="1">
        <f t="array" ref="P185">_xlfn.XLOOKUP(A185&amp;B185,'[1]Daily Sleep'!$A$2:$A$468&amp;'[1]Daily Sleep'!$B$2:$B$468,'[1]Daily Sleep'!$D$2:$D$468,"")</f>
        <v>6.1</v>
      </c>
    </row>
    <row r="186" spans="1:16" x14ac:dyDescent="0.35">
      <c r="A186">
        <v>4020332650</v>
      </c>
      <c r="B186" s="1">
        <v>42460</v>
      </c>
      <c r="C186">
        <v>7428</v>
      </c>
      <c r="D186">
        <v>5.3299999237060502</v>
      </c>
      <c r="E186">
        <v>5.3299999237060502</v>
      </c>
      <c r="F186">
        <v>0</v>
      </c>
      <c r="G186">
        <v>0.87000000476837203</v>
      </c>
      <c r="H186">
        <v>0.92000001668930098</v>
      </c>
      <c r="I186">
        <v>3.5099999904632599</v>
      </c>
      <c r="J186">
        <v>0</v>
      </c>
      <c r="K186">
        <v>18</v>
      </c>
      <c r="L186">
        <v>33</v>
      </c>
      <c r="M186">
        <v>261</v>
      </c>
      <c r="N186">
        <v>860</v>
      </c>
      <c r="O186">
        <v>3439</v>
      </c>
      <c r="P186" s="3" cm="1">
        <f t="array" ref="P186">_xlfn.XLOOKUP(A186&amp;B186,'[1]Daily Sleep'!$A$2:$A$468&amp;'[1]Daily Sleep'!$B$2:$B$468,'[1]Daily Sleep'!$D$2:$D$468,"")</f>
        <v>4.3166666666666664</v>
      </c>
    </row>
    <row r="187" spans="1:16" x14ac:dyDescent="0.35">
      <c r="A187">
        <v>4020332650</v>
      </c>
      <c r="B187" s="1">
        <v>42461</v>
      </c>
      <c r="C187">
        <v>5351</v>
      </c>
      <c r="D187">
        <v>3.8399999141693102</v>
      </c>
      <c r="E187">
        <v>3.8399999141693102</v>
      </c>
      <c r="F187">
        <v>0</v>
      </c>
      <c r="G187">
        <v>0.62000000476837203</v>
      </c>
      <c r="H187">
        <v>0.18000000715255701</v>
      </c>
      <c r="I187">
        <v>3.0099999904632599</v>
      </c>
      <c r="J187">
        <v>0</v>
      </c>
      <c r="K187">
        <v>15</v>
      </c>
      <c r="L187">
        <v>17</v>
      </c>
      <c r="M187">
        <v>210</v>
      </c>
      <c r="N187">
        <v>748</v>
      </c>
      <c r="O187">
        <v>3338</v>
      </c>
      <c r="P187" s="3" cm="1">
        <f t="array" ref="P187">_xlfn.XLOOKUP(A187&amp;B187,'[1]Daily Sleep'!$A$2:$A$468&amp;'[1]Daily Sleep'!$B$2:$B$468,'[1]Daily Sleep'!$D$2:$D$468,"")</f>
        <v>7.15</v>
      </c>
    </row>
    <row r="188" spans="1:16" x14ac:dyDescent="0.35">
      <c r="A188">
        <v>4020332650</v>
      </c>
      <c r="B188" s="1">
        <v>42462</v>
      </c>
      <c r="C188">
        <v>4299</v>
      </c>
      <c r="D188">
        <v>3.0999999046325701</v>
      </c>
      <c r="E188">
        <v>3.0999999046325701</v>
      </c>
      <c r="F188">
        <v>0</v>
      </c>
      <c r="G188">
        <v>9.00000035762787E-2</v>
      </c>
      <c r="H188">
        <v>0.20999999344348899</v>
      </c>
      <c r="I188">
        <v>2.7400000095367401</v>
      </c>
      <c r="J188">
        <v>3.9999999105930301E-2</v>
      </c>
      <c r="K188">
        <v>3</v>
      </c>
      <c r="L188">
        <v>15</v>
      </c>
      <c r="M188">
        <v>162</v>
      </c>
      <c r="N188">
        <v>752</v>
      </c>
      <c r="O188">
        <v>2892</v>
      </c>
      <c r="P188" s="3" cm="1">
        <f t="array" ref="P188">_xlfn.XLOOKUP(A188&amp;B188,'[1]Daily Sleep'!$A$2:$A$468&amp;'[1]Daily Sleep'!$B$2:$B$468,'[1]Daily Sleep'!$D$2:$D$468,"")</f>
        <v>8.3166666666666664</v>
      </c>
    </row>
    <row r="189" spans="1:16" x14ac:dyDescent="0.35">
      <c r="A189">
        <v>4020332650</v>
      </c>
      <c r="B189" s="1">
        <v>42463</v>
      </c>
      <c r="C189">
        <v>6107</v>
      </c>
      <c r="D189">
        <v>4.3800001144409197</v>
      </c>
      <c r="E189">
        <v>4.3800001144409197</v>
      </c>
      <c r="F189">
        <v>0</v>
      </c>
      <c r="G189">
        <v>0</v>
      </c>
      <c r="H189">
        <v>0</v>
      </c>
      <c r="I189">
        <v>4.3600001335143999</v>
      </c>
      <c r="J189">
        <v>0</v>
      </c>
      <c r="K189">
        <v>0</v>
      </c>
      <c r="L189">
        <v>0</v>
      </c>
      <c r="M189">
        <v>265</v>
      </c>
      <c r="N189">
        <v>776</v>
      </c>
      <c r="O189">
        <v>3313</v>
      </c>
      <c r="P189" s="3" cm="1">
        <f t="array" ref="P189">_xlfn.XLOOKUP(A189&amp;B189,'[1]Daily Sleep'!$A$2:$A$468&amp;'[1]Daily Sleep'!$B$2:$B$468,'[1]Daily Sleep'!$D$2:$D$468,"")</f>
        <v>6.45</v>
      </c>
    </row>
    <row r="190" spans="1:16" x14ac:dyDescent="0.35">
      <c r="A190">
        <v>4020332650</v>
      </c>
      <c r="B190" s="1">
        <v>42464</v>
      </c>
      <c r="C190">
        <v>6429</v>
      </c>
      <c r="D190">
        <v>4.5999999046325701</v>
      </c>
      <c r="E190">
        <v>4.5999999046325701</v>
      </c>
      <c r="F190">
        <v>0</v>
      </c>
      <c r="G190">
        <v>0</v>
      </c>
      <c r="H190">
        <v>0.94999998807907104</v>
      </c>
      <c r="I190">
        <v>3.6500000953674299</v>
      </c>
      <c r="J190">
        <v>0</v>
      </c>
      <c r="K190">
        <v>0</v>
      </c>
      <c r="L190">
        <v>28</v>
      </c>
      <c r="M190">
        <v>193</v>
      </c>
      <c r="N190">
        <v>741</v>
      </c>
      <c r="O190">
        <v>3118</v>
      </c>
      <c r="P190" s="3" cm="1">
        <f t="array" ref="P190">_xlfn.XLOOKUP(A190&amp;B190,'[1]Daily Sleep'!$A$2:$A$468&amp;'[1]Daily Sleep'!$B$2:$B$468,'[1]Daily Sleep'!$D$2:$D$468,"")</f>
        <v>7.7166666666666668</v>
      </c>
    </row>
    <row r="191" spans="1:16" x14ac:dyDescent="0.35">
      <c r="A191">
        <v>4020332650</v>
      </c>
      <c r="B191" s="1">
        <v>42465</v>
      </c>
      <c r="C191">
        <v>6880</v>
      </c>
      <c r="D191">
        <v>4.9299998283386204</v>
      </c>
      <c r="E191">
        <v>4.9299998283386204</v>
      </c>
      <c r="F191">
        <v>0</v>
      </c>
      <c r="G191">
        <v>0.5</v>
      </c>
      <c r="H191">
        <v>0.75999999046325695</v>
      </c>
      <c r="I191">
        <v>3.6500000953674299</v>
      </c>
      <c r="J191">
        <v>0</v>
      </c>
      <c r="K191">
        <v>7</v>
      </c>
      <c r="L191">
        <v>19</v>
      </c>
      <c r="M191">
        <v>165</v>
      </c>
      <c r="N191">
        <v>1249</v>
      </c>
      <c r="O191">
        <v>2966</v>
      </c>
      <c r="P191" s="3" t="str" cm="1">
        <f t="array" ref="P191">_xlfn.XLOOKUP(A191&amp;B191,'[1]Daily Sleep'!$A$2:$A$468&amp;'[1]Daily Sleep'!$B$2:$B$468,'[1]Daily Sleep'!$D$2:$D$468,"")</f>
        <v/>
      </c>
    </row>
    <row r="192" spans="1:16" x14ac:dyDescent="0.35">
      <c r="A192">
        <v>4020332650</v>
      </c>
      <c r="B192" s="1">
        <v>42466</v>
      </c>
      <c r="C192">
        <v>7476</v>
      </c>
      <c r="D192">
        <v>5.3600001335143999</v>
      </c>
      <c r="E192">
        <v>5.3600001335143999</v>
      </c>
      <c r="F192">
        <v>0</v>
      </c>
      <c r="G192">
        <v>0</v>
      </c>
      <c r="H192">
        <v>0</v>
      </c>
      <c r="I192">
        <v>5.3099999427795401</v>
      </c>
      <c r="J192">
        <v>0</v>
      </c>
      <c r="K192">
        <v>0</v>
      </c>
      <c r="L192">
        <v>0</v>
      </c>
      <c r="M192">
        <v>263</v>
      </c>
      <c r="N192">
        <v>920</v>
      </c>
      <c r="O192">
        <v>3253</v>
      </c>
      <c r="P192" s="3" cm="1">
        <f t="array" ref="P192">_xlfn.XLOOKUP(A192&amp;B192,'[1]Daily Sleep'!$A$2:$A$468&amp;'[1]Daily Sleep'!$B$2:$B$468,'[1]Daily Sleep'!$D$2:$D$468,"")</f>
        <v>4.083333333333333</v>
      </c>
    </row>
    <row r="193" spans="1:16" x14ac:dyDescent="0.35">
      <c r="A193">
        <v>4020332650</v>
      </c>
      <c r="B193" s="1">
        <v>42467</v>
      </c>
      <c r="C193">
        <v>6581</v>
      </c>
      <c r="D193">
        <v>4.7199997901916504</v>
      </c>
      <c r="E193">
        <v>4.7199997901916504</v>
      </c>
      <c r="F193">
        <v>0</v>
      </c>
      <c r="G193">
        <v>0</v>
      </c>
      <c r="H193">
        <v>0.28999999165535001</v>
      </c>
      <c r="I193">
        <v>4.3899998664856001</v>
      </c>
      <c r="J193">
        <v>0</v>
      </c>
      <c r="K193">
        <v>0</v>
      </c>
      <c r="L193">
        <v>8</v>
      </c>
      <c r="M193">
        <v>241</v>
      </c>
      <c r="N193">
        <v>1191</v>
      </c>
      <c r="O193">
        <v>3032</v>
      </c>
      <c r="P193" s="3" t="str" cm="1">
        <f t="array" ref="P193">_xlfn.XLOOKUP(A193&amp;B193,'[1]Daily Sleep'!$A$2:$A$468&amp;'[1]Daily Sleep'!$B$2:$B$468,'[1]Daily Sleep'!$D$2:$D$468,"")</f>
        <v/>
      </c>
    </row>
    <row r="194" spans="1:16" x14ac:dyDescent="0.35">
      <c r="A194">
        <v>4020332650</v>
      </c>
      <c r="B194" s="1">
        <v>42468</v>
      </c>
      <c r="C194">
        <v>10480</v>
      </c>
      <c r="D194">
        <v>7.5100002288818404</v>
      </c>
      <c r="E194">
        <v>7.5100002288818404</v>
      </c>
      <c r="F194">
        <v>0</v>
      </c>
      <c r="G194">
        <v>0.40999999642372098</v>
      </c>
      <c r="H194">
        <v>1.4700000286102299</v>
      </c>
      <c r="I194">
        <v>5.0100002288818404</v>
      </c>
      <c r="J194">
        <v>3.9999999105930301E-2</v>
      </c>
      <c r="K194">
        <v>6</v>
      </c>
      <c r="L194">
        <v>37</v>
      </c>
      <c r="M194">
        <v>272</v>
      </c>
      <c r="N194">
        <v>1125</v>
      </c>
      <c r="O194">
        <v>4034</v>
      </c>
      <c r="P194" s="3" t="str" cm="1">
        <f t="array" ref="P194">_xlfn.XLOOKUP(A194&amp;B194,'[1]Daily Sleep'!$A$2:$A$468&amp;'[1]Daily Sleep'!$B$2:$B$468,'[1]Daily Sleep'!$D$2:$D$468,"")</f>
        <v/>
      </c>
    </row>
    <row r="195" spans="1:16" x14ac:dyDescent="0.35">
      <c r="A195">
        <v>4020332650</v>
      </c>
      <c r="B195" s="1">
        <v>42469</v>
      </c>
      <c r="C195">
        <v>7734</v>
      </c>
      <c r="D195">
        <v>5.5500001907348597</v>
      </c>
      <c r="E195">
        <v>5.5500001907348597</v>
      </c>
      <c r="F195">
        <v>0</v>
      </c>
      <c r="G195">
        <v>1.1599999666214</v>
      </c>
      <c r="H195">
        <v>0.490000009536743</v>
      </c>
      <c r="I195">
        <v>3.8199999332428001</v>
      </c>
      <c r="J195">
        <v>5.9999998658895499E-2</v>
      </c>
      <c r="K195">
        <v>20</v>
      </c>
      <c r="L195">
        <v>12</v>
      </c>
      <c r="M195">
        <v>223</v>
      </c>
      <c r="N195">
        <v>1185</v>
      </c>
      <c r="O195">
        <v>3264</v>
      </c>
      <c r="P195" s="3" t="str" cm="1">
        <f t="array" ref="P195">_xlfn.XLOOKUP(A195&amp;B195,'[1]Daily Sleep'!$A$2:$A$468&amp;'[1]Daily Sleep'!$B$2:$B$468,'[1]Daily Sleep'!$D$2:$D$468,"")</f>
        <v/>
      </c>
    </row>
    <row r="196" spans="1:16" x14ac:dyDescent="0.35">
      <c r="A196">
        <v>4020332650</v>
      </c>
      <c r="B196" s="1">
        <v>42470</v>
      </c>
      <c r="C196">
        <v>5129</v>
      </c>
      <c r="D196">
        <v>3.6800000667571999</v>
      </c>
      <c r="E196">
        <v>3.6800000667571999</v>
      </c>
      <c r="F196">
        <v>0</v>
      </c>
      <c r="G196">
        <v>0.18000000715255701</v>
      </c>
      <c r="H196">
        <v>0.239999994635582</v>
      </c>
      <c r="I196">
        <v>3.21000003814697</v>
      </c>
      <c r="J196">
        <v>9.9999997764825804E-3</v>
      </c>
      <c r="K196">
        <v>5</v>
      </c>
      <c r="L196">
        <v>7</v>
      </c>
      <c r="M196">
        <v>176</v>
      </c>
      <c r="N196">
        <v>1178</v>
      </c>
      <c r="O196">
        <v>2817</v>
      </c>
      <c r="P196" s="3" cm="1">
        <f t="array" ref="P196">_xlfn.XLOOKUP(A196&amp;B196,'[1]Daily Sleep'!$A$2:$A$468&amp;'[1]Daily Sleep'!$B$2:$B$468,'[1]Daily Sleep'!$D$2:$D$468,"")</f>
        <v>1.2333333333333334</v>
      </c>
    </row>
    <row r="197" spans="1:16" x14ac:dyDescent="0.35">
      <c r="A197">
        <v>4020332650</v>
      </c>
      <c r="B197" s="1">
        <v>42471</v>
      </c>
      <c r="C197">
        <v>2993</v>
      </c>
      <c r="D197">
        <v>2.1500000953674299</v>
      </c>
      <c r="E197">
        <v>2.1500000953674299</v>
      </c>
      <c r="F197">
        <v>0</v>
      </c>
      <c r="G197">
        <v>0</v>
      </c>
      <c r="H197">
        <v>0</v>
      </c>
      <c r="I197">
        <v>2.0899999141693102</v>
      </c>
      <c r="J197">
        <v>0</v>
      </c>
      <c r="K197">
        <v>0</v>
      </c>
      <c r="L197">
        <v>0</v>
      </c>
      <c r="M197">
        <v>114</v>
      </c>
      <c r="N197">
        <v>888</v>
      </c>
      <c r="O197">
        <v>2507</v>
      </c>
      <c r="P197" s="3" cm="1">
        <f t="array" ref="P197">_xlfn.XLOOKUP(A197&amp;B197,'[1]Daily Sleep'!$A$2:$A$468&amp;'[1]Daily Sleep'!$B$2:$B$468,'[1]Daily Sleep'!$D$2:$D$468,"")</f>
        <v>7.1</v>
      </c>
    </row>
    <row r="198" spans="1:16" x14ac:dyDescent="0.35">
      <c r="A198">
        <v>4020332650</v>
      </c>
      <c r="B198" s="1">
        <v>42472</v>
      </c>
      <c r="C198">
        <v>8</v>
      </c>
      <c r="D198">
        <v>9.9999997764825804E-3</v>
      </c>
      <c r="E198">
        <v>9.9999997764825804E-3</v>
      </c>
      <c r="F198">
        <v>0</v>
      </c>
      <c r="G198">
        <v>0</v>
      </c>
      <c r="H198">
        <v>0</v>
      </c>
      <c r="I198">
        <v>9.9999997764825804E-3</v>
      </c>
      <c r="J198">
        <v>0</v>
      </c>
      <c r="K198">
        <v>0</v>
      </c>
      <c r="L198">
        <v>0</v>
      </c>
      <c r="M198">
        <v>1</v>
      </c>
      <c r="N198">
        <v>321</v>
      </c>
      <c r="O198">
        <v>446</v>
      </c>
      <c r="P198" s="3" t="str" cm="1">
        <f t="array" ref="P198">_xlfn.XLOOKUP(A198&amp;B198,'[1]Daily Sleep'!$A$2:$A$468&amp;'[1]Daily Sleep'!$B$2:$B$468,'[1]Daily Sleep'!$D$2:$D$468,"")</f>
        <v/>
      </c>
    </row>
    <row r="199" spans="1:16" x14ac:dyDescent="0.35">
      <c r="A199">
        <v>4057192912</v>
      </c>
      <c r="B199" s="1">
        <v>42441</v>
      </c>
      <c r="C199">
        <v>0</v>
      </c>
      <c r="D199">
        <v>0</v>
      </c>
      <c r="E199">
        <v>0</v>
      </c>
      <c r="F199">
        <v>0</v>
      </c>
      <c r="G199">
        <v>0</v>
      </c>
      <c r="H199">
        <v>0</v>
      </c>
      <c r="I199">
        <v>0</v>
      </c>
      <c r="J199">
        <v>0</v>
      </c>
      <c r="K199">
        <v>0</v>
      </c>
      <c r="L199">
        <v>0</v>
      </c>
      <c r="M199">
        <v>0</v>
      </c>
      <c r="N199">
        <v>1440</v>
      </c>
      <c r="O199">
        <v>1777</v>
      </c>
      <c r="P199" s="3" t="str" cm="1">
        <f t="array" ref="P199">_xlfn.XLOOKUP(A199&amp;B199,'[1]Daily Sleep'!$A$2:$A$468&amp;'[1]Daily Sleep'!$B$2:$B$468,'[1]Daily Sleep'!$D$2:$D$468,"")</f>
        <v/>
      </c>
    </row>
    <row r="200" spans="1:16" x14ac:dyDescent="0.35">
      <c r="A200">
        <v>4057192912</v>
      </c>
      <c r="B200" s="1">
        <v>42442</v>
      </c>
      <c r="C200">
        <v>0</v>
      </c>
      <c r="D200">
        <v>0</v>
      </c>
      <c r="E200">
        <v>0</v>
      </c>
      <c r="F200">
        <v>0</v>
      </c>
      <c r="G200">
        <v>0</v>
      </c>
      <c r="H200">
        <v>0</v>
      </c>
      <c r="I200">
        <v>0</v>
      </c>
      <c r="J200">
        <v>0</v>
      </c>
      <c r="K200">
        <v>0</v>
      </c>
      <c r="L200">
        <v>0</v>
      </c>
      <c r="M200">
        <v>0</v>
      </c>
      <c r="N200">
        <v>1440</v>
      </c>
      <c r="O200">
        <v>1777</v>
      </c>
      <c r="P200" s="3" t="str" cm="1">
        <f t="array" ref="P200">_xlfn.XLOOKUP(A200&amp;B200,'[1]Daily Sleep'!$A$2:$A$468&amp;'[1]Daily Sleep'!$B$2:$B$468,'[1]Daily Sleep'!$D$2:$D$468,"")</f>
        <v/>
      </c>
    </row>
    <row r="201" spans="1:16" x14ac:dyDescent="0.35">
      <c r="A201">
        <v>4057192912</v>
      </c>
      <c r="B201" s="1">
        <v>42443</v>
      </c>
      <c r="C201">
        <v>8433</v>
      </c>
      <c r="D201">
        <v>6.2300000190734899</v>
      </c>
      <c r="E201">
        <v>6.2300000190734899</v>
      </c>
      <c r="F201">
        <v>0</v>
      </c>
      <c r="G201">
        <v>2.4500000476837198</v>
      </c>
      <c r="H201">
        <v>0.33000001311302202</v>
      </c>
      <c r="I201">
        <v>3.4400000572204599</v>
      </c>
      <c r="J201">
        <v>0</v>
      </c>
      <c r="K201">
        <v>30</v>
      </c>
      <c r="L201">
        <v>7</v>
      </c>
      <c r="M201">
        <v>135</v>
      </c>
      <c r="N201">
        <v>1268</v>
      </c>
      <c r="O201">
        <v>2453</v>
      </c>
      <c r="P201" s="3" t="str" cm="1">
        <f t="array" ref="P201">_xlfn.XLOOKUP(A201&amp;B201,'[1]Daily Sleep'!$A$2:$A$468&amp;'[1]Daily Sleep'!$B$2:$B$468,'[1]Daily Sleep'!$D$2:$D$468,"")</f>
        <v/>
      </c>
    </row>
    <row r="202" spans="1:16" x14ac:dyDescent="0.35">
      <c r="A202">
        <v>4057192912</v>
      </c>
      <c r="B202" s="1">
        <v>42444</v>
      </c>
      <c r="C202">
        <v>0</v>
      </c>
      <c r="D202">
        <v>0</v>
      </c>
      <c r="E202">
        <v>0</v>
      </c>
      <c r="F202">
        <v>0</v>
      </c>
      <c r="G202">
        <v>0</v>
      </c>
      <c r="H202">
        <v>0</v>
      </c>
      <c r="I202">
        <v>0</v>
      </c>
      <c r="J202">
        <v>0</v>
      </c>
      <c r="K202">
        <v>0</v>
      </c>
      <c r="L202">
        <v>0</v>
      </c>
      <c r="M202">
        <v>0</v>
      </c>
      <c r="N202">
        <v>1440</v>
      </c>
      <c r="O202">
        <v>1776</v>
      </c>
      <c r="P202" s="3" t="str" cm="1">
        <f t="array" ref="P202">_xlfn.XLOOKUP(A202&amp;B202,'[1]Daily Sleep'!$A$2:$A$468&amp;'[1]Daily Sleep'!$B$2:$B$468,'[1]Daily Sleep'!$D$2:$D$468,"")</f>
        <v/>
      </c>
    </row>
    <row r="203" spans="1:16" x14ac:dyDescent="0.35">
      <c r="A203">
        <v>4057192912</v>
      </c>
      <c r="B203" s="1">
        <v>42445</v>
      </c>
      <c r="C203">
        <v>2139</v>
      </c>
      <c r="D203">
        <v>1.5599999427795399</v>
      </c>
      <c r="E203">
        <v>1.5599999427795399</v>
      </c>
      <c r="F203">
        <v>0</v>
      </c>
      <c r="G203">
        <v>0</v>
      </c>
      <c r="H203">
        <v>1.29999995231628</v>
      </c>
      <c r="I203">
        <v>0.259999990463257</v>
      </c>
      <c r="J203">
        <v>0</v>
      </c>
      <c r="K203">
        <v>0</v>
      </c>
      <c r="L203">
        <v>28</v>
      </c>
      <c r="M203">
        <v>15</v>
      </c>
      <c r="N203">
        <v>1397</v>
      </c>
      <c r="O203">
        <v>1935</v>
      </c>
      <c r="P203" s="3" t="str" cm="1">
        <f t="array" ref="P203">_xlfn.XLOOKUP(A203&amp;B203,'[1]Daily Sleep'!$A$2:$A$468&amp;'[1]Daily Sleep'!$B$2:$B$468,'[1]Daily Sleep'!$D$2:$D$468,"")</f>
        <v/>
      </c>
    </row>
    <row r="204" spans="1:16" x14ac:dyDescent="0.35">
      <c r="A204">
        <v>4057192912</v>
      </c>
      <c r="B204" s="1">
        <v>42446</v>
      </c>
      <c r="C204">
        <v>0</v>
      </c>
      <c r="D204">
        <v>0</v>
      </c>
      <c r="E204">
        <v>0</v>
      </c>
      <c r="F204">
        <v>0</v>
      </c>
      <c r="G204">
        <v>0</v>
      </c>
      <c r="H204">
        <v>0</v>
      </c>
      <c r="I204">
        <v>0</v>
      </c>
      <c r="J204">
        <v>0</v>
      </c>
      <c r="K204">
        <v>0</v>
      </c>
      <c r="L204">
        <v>0</v>
      </c>
      <c r="M204">
        <v>0</v>
      </c>
      <c r="N204">
        <v>1440</v>
      </c>
      <c r="O204">
        <v>1776</v>
      </c>
      <c r="P204" s="3" t="str" cm="1">
        <f t="array" ref="P204">_xlfn.XLOOKUP(A204&amp;B204,'[1]Daily Sleep'!$A$2:$A$468&amp;'[1]Daily Sleep'!$B$2:$B$468,'[1]Daily Sleep'!$D$2:$D$468,"")</f>
        <v/>
      </c>
    </row>
    <row r="205" spans="1:16" x14ac:dyDescent="0.35">
      <c r="A205">
        <v>4057192912</v>
      </c>
      <c r="B205" s="1">
        <v>42447</v>
      </c>
      <c r="C205">
        <v>949</v>
      </c>
      <c r="D205">
        <v>0.68999999761581399</v>
      </c>
      <c r="E205">
        <v>0.68999999761581399</v>
      </c>
      <c r="F205">
        <v>0</v>
      </c>
      <c r="G205">
        <v>0</v>
      </c>
      <c r="H205">
        <v>0</v>
      </c>
      <c r="I205">
        <v>0.68999999761581399</v>
      </c>
      <c r="J205">
        <v>0</v>
      </c>
      <c r="K205">
        <v>0</v>
      </c>
      <c r="L205">
        <v>0</v>
      </c>
      <c r="M205">
        <v>34</v>
      </c>
      <c r="N205">
        <v>1406</v>
      </c>
      <c r="O205">
        <v>1870</v>
      </c>
      <c r="P205" s="3" t="str" cm="1">
        <f t="array" ref="P205">_xlfn.XLOOKUP(A205&amp;B205,'[1]Daily Sleep'!$A$2:$A$468&amp;'[1]Daily Sleep'!$B$2:$B$468,'[1]Daily Sleep'!$D$2:$D$468,"")</f>
        <v/>
      </c>
    </row>
    <row r="206" spans="1:16" x14ac:dyDescent="0.35">
      <c r="A206">
        <v>4057192912</v>
      </c>
      <c r="B206" s="1">
        <v>42448</v>
      </c>
      <c r="C206">
        <v>0</v>
      </c>
      <c r="D206">
        <v>0</v>
      </c>
      <c r="E206">
        <v>0</v>
      </c>
      <c r="F206">
        <v>0</v>
      </c>
      <c r="G206">
        <v>0</v>
      </c>
      <c r="H206">
        <v>0</v>
      </c>
      <c r="I206">
        <v>0</v>
      </c>
      <c r="J206">
        <v>0</v>
      </c>
      <c r="K206">
        <v>0</v>
      </c>
      <c r="L206">
        <v>0</v>
      </c>
      <c r="M206">
        <v>0</v>
      </c>
      <c r="N206">
        <v>1440</v>
      </c>
      <c r="O206">
        <v>1777</v>
      </c>
      <c r="P206" s="3" t="str" cm="1">
        <f t="array" ref="P206">_xlfn.XLOOKUP(A206&amp;B206,'[1]Daily Sleep'!$A$2:$A$468&amp;'[1]Daily Sleep'!$B$2:$B$468,'[1]Daily Sleep'!$D$2:$D$468,"")</f>
        <v/>
      </c>
    </row>
    <row r="207" spans="1:16" x14ac:dyDescent="0.35">
      <c r="A207">
        <v>4057192912</v>
      </c>
      <c r="B207" s="1">
        <v>42449</v>
      </c>
      <c r="C207">
        <v>44</v>
      </c>
      <c r="D207">
        <v>2.9999999329447701E-2</v>
      </c>
      <c r="E207">
        <v>2.9999999329447701E-2</v>
      </c>
      <c r="F207">
        <v>0</v>
      </c>
      <c r="G207">
        <v>0</v>
      </c>
      <c r="H207">
        <v>0</v>
      </c>
      <c r="I207">
        <v>2.9999999329447701E-2</v>
      </c>
      <c r="J207">
        <v>0</v>
      </c>
      <c r="K207">
        <v>0</v>
      </c>
      <c r="L207">
        <v>0</v>
      </c>
      <c r="M207">
        <v>2</v>
      </c>
      <c r="N207">
        <v>1438</v>
      </c>
      <c r="O207">
        <v>1782</v>
      </c>
      <c r="P207" s="3" t="str" cm="1">
        <f t="array" ref="P207">_xlfn.XLOOKUP(A207&amp;B207,'[1]Daily Sleep'!$A$2:$A$468&amp;'[1]Daily Sleep'!$B$2:$B$468,'[1]Daily Sleep'!$D$2:$D$468,"")</f>
        <v/>
      </c>
    </row>
    <row r="208" spans="1:16" x14ac:dyDescent="0.35">
      <c r="A208">
        <v>4057192912</v>
      </c>
      <c r="B208" s="1">
        <v>42450</v>
      </c>
      <c r="C208">
        <v>2660</v>
      </c>
      <c r="D208">
        <v>1.9400000572204601</v>
      </c>
      <c r="E208">
        <v>1.9400000572204601</v>
      </c>
      <c r="F208">
        <v>0</v>
      </c>
      <c r="G208">
        <v>0</v>
      </c>
      <c r="H208">
        <v>0</v>
      </c>
      <c r="I208">
        <v>1.9400000572204601</v>
      </c>
      <c r="J208">
        <v>0</v>
      </c>
      <c r="K208">
        <v>0</v>
      </c>
      <c r="L208">
        <v>0</v>
      </c>
      <c r="M208">
        <v>46</v>
      </c>
      <c r="N208">
        <v>1394</v>
      </c>
      <c r="O208">
        <v>1978</v>
      </c>
      <c r="P208" s="3" t="str" cm="1">
        <f t="array" ref="P208">_xlfn.XLOOKUP(A208&amp;B208,'[1]Daily Sleep'!$A$2:$A$468&amp;'[1]Daily Sleep'!$B$2:$B$468,'[1]Daily Sleep'!$D$2:$D$468,"")</f>
        <v/>
      </c>
    </row>
    <row r="209" spans="1:16" x14ac:dyDescent="0.35">
      <c r="A209">
        <v>4057192912</v>
      </c>
      <c r="B209" s="1">
        <v>42451</v>
      </c>
      <c r="C209">
        <v>5561</v>
      </c>
      <c r="D209">
        <v>4.1900000572204599</v>
      </c>
      <c r="E209">
        <v>4.1900000572204599</v>
      </c>
      <c r="F209">
        <v>0</v>
      </c>
      <c r="G209">
        <v>0</v>
      </c>
      <c r="H209">
        <v>0</v>
      </c>
      <c r="I209">
        <v>4.0700001716613796</v>
      </c>
      <c r="J209">
        <v>0</v>
      </c>
      <c r="K209">
        <v>0</v>
      </c>
      <c r="L209">
        <v>0</v>
      </c>
      <c r="M209">
        <v>169</v>
      </c>
      <c r="N209">
        <v>1271</v>
      </c>
      <c r="O209">
        <v>2296</v>
      </c>
      <c r="P209" s="3" t="str" cm="1">
        <f t="array" ref="P209">_xlfn.XLOOKUP(A209&amp;B209,'[1]Daily Sleep'!$A$2:$A$468&amp;'[1]Daily Sleep'!$B$2:$B$468,'[1]Daily Sleep'!$D$2:$D$468,"")</f>
        <v/>
      </c>
    </row>
    <row r="210" spans="1:16" x14ac:dyDescent="0.35">
      <c r="A210">
        <v>4057192912</v>
      </c>
      <c r="B210" s="1">
        <v>42452</v>
      </c>
      <c r="C210">
        <v>7239</v>
      </c>
      <c r="D210">
        <v>5.3400001525878897</v>
      </c>
      <c r="E210">
        <v>5.3400001525878897</v>
      </c>
      <c r="F210">
        <v>0</v>
      </c>
      <c r="G210">
        <v>0.55000001192092896</v>
      </c>
      <c r="H210">
        <v>0.36000001430511502</v>
      </c>
      <c r="I210">
        <v>4.3800001144409197</v>
      </c>
      <c r="J210">
        <v>0</v>
      </c>
      <c r="K210">
        <v>7</v>
      </c>
      <c r="L210">
        <v>7</v>
      </c>
      <c r="M210">
        <v>190</v>
      </c>
      <c r="N210">
        <v>1236</v>
      </c>
      <c r="O210">
        <v>2484</v>
      </c>
      <c r="P210" s="3" t="str" cm="1">
        <f t="array" ref="P210">_xlfn.XLOOKUP(A210&amp;B210,'[1]Daily Sleep'!$A$2:$A$468&amp;'[1]Daily Sleep'!$B$2:$B$468,'[1]Daily Sleep'!$D$2:$D$468,"")</f>
        <v/>
      </c>
    </row>
    <row r="211" spans="1:16" x14ac:dyDescent="0.35">
      <c r="A211">
        <v>4057192912</v>
      </c>
      <c r="B211" s="1">
        <v>42453</v>
      </c>
      <c r="C211">
        <v>7</v>
      </c>
      <c r="D211">
        <v>9.9999997764825804E-3</v>
      </c>
      <c r="E211">
        <v>9.9999997764825804E-3</v>
      </c>
      <c r="F211">
        <v>0</v>
      </c>
      <c r="G211">
        <v>0</v>
      </c>
      <c r="H211">
        <v>0</v>
      </c>
      <c r="I211">
        <v>9.9999997764825804E-3</v>
      </c>
      <c r="J211">
        <v>0</v>
      </c>
      <c r="K211">
        <v>0</v>
      </c>
      <c r="L211">
        <v>0</v>
      </c>
      <c r="M211">
        <v>1</v>
      </c>
      <c r="N211">
        <v>1439</v>
      </c>
      <c r="O211">
        <v>1787</v>
      </c>
      <c r="P211" s="3" t="str" cm="1">
        <f t="array" ref="P211">_xlfn.XLOOKUP(A211&amp;B211,'[1]Daily Sleep'!$A$2:$A$468&amp;'[1]Daily Sleep'!$B$2:$B$468,'[1]Daily Sleep'!$D$2:$D$468,"")</f>
        <v/>
      </c>
    </row>
    <row r="212" spans="1:16" x14ac:dyDescent="0.35">
      <c r="A212">
        <v>4057192912</v>
      </c>
      <c r="B212" s="1">
        <v>42454</v>
      </c>
      <c r="C212">
        <v>0</v>
      </c>
      <c r="D212">
        <v>0</v>
      </c>
      <c r="E212">
        <v>0</v>
      </c>
      <c r="F212">
        <v>0</v>
      </c>
      <c r="G212">
        <v>0</v>
      </c>
      <c r="H212">
        <v>0</v>
      </c>
      <c r="I212">
        <v>0</v>
      </c>
      <c r="J212">
        <v>0</v>
      </c>
      <c r="K212">
        <v>0</v>
      </c>
      <c r="L212">
        <v>0</v>
      </c>
      <c r="M212">
        <v>0</v>
      </c>
      <c r="N212">
        <v>1440</v>
      </c>
      <c r="O212">
        <v>1776</v>
      </c>
      <c r="P212" s="3" t="str" cm="1">
        <f t="array" ref="P212">_xlfn.XLOOKUP(A212&amp;B212,'[1]Daily Sleep'!$A$2:$A$468&amp;'[1]Daily Sleep'!$B$2:$B$468,'[1]Daily Sleep'!$D$2:$D$468,"")</f>
        <v/>
      </c>
    </row>
    <row r="213" spans="1:16" x14ac:dyDescent="0.35">
      <c r="A213">
        <v>4057192912</v>
      </c>
      <c r="B213" s="1">
        <v>42455</v>
      </c>
      <c r="C213">
        <v>0</v>
      </c>
      <c r="D213">
        <v>0</v>
      </c>
      <c r="E213">
        <v>0</v>
      </c>
      <c r="F213">
        <v>0</v>
      </c>
      <c r="G213">
        <v>0</v>
      </c>
      <c r="H213">
        <v>0</v>
      </c>
      <c r="I213">
        <v>0</v>
      </c>
      <c r="J213">
        <v>0</v>
      </c>
      <c r="K213">
        <v>0</v>
      </c>
      <c r="L213">
        <v>0</v>
      </c>
      <c r="M213">
        <v>0</v>
      </c>
      <c r="N213">
        <v>1440</v>
      </c>
      <c r="O213">
        <v>1776</v>
      </c>
      <c r="P213" s="3" t="str" cm="1">
        <f t="array" ref="P213">_xlfn.XLOOKUP(A213&amp;B213,'[1]Daily Sleep'!$A$2:$A$468&amp;'[1]Daily Sleep'!$B$2:$B$468,'[1]Daily Sleep'!$D$2:$D$468,"")</f>
        <v/>
      </c>
    </row>
    <row r="214" spans="1:16" x14ac:dyDescent="0.35">
      <c r="A214">
        <v>4057192912</v>
      </c>
      <c r="B214" s="1">
        <v>42456</v>
      </c>
      <c r="C214">
        <v>2275</v>
      </c>
      <c r="D214">
        <v>1.6799999475479099</v>
      </c>
      <c r="E214">
        <v>1.6799999475479099</v>
      </c>
      <c r="F214">
        <v>0</v>
      </c>
      <c r="G214">
        <v>0</v>
      </c>
      <c r="H214">
        <v>0</v>
      </c>
      <c r="I214">
        <v>1.6599999666214</v>
      </c>
      <c r="J214">
        <v>0</v>
      </c>
      <c r="K214">
        <v>0</v>
      </c>
      <c r="L214">
        <v>0</v>
      </c>
      <c r="M214">
        <v>86</v>
      </c>
      <c r="N214">
        <v>1354</v>
      </c>
      <c r="O214">
        <v>2005</v>
      </c>
      <c r="P214" s="3" t="str" cm="1">
        <f t="array" ref="P214">_xlfn.XLOOKUP(A214&amp;B214,'[1]Daily Sleep'!$A$2:$A$468&amp;'[1]Daily Sleep'!$B$2:$B$468,'[1]Daily Sleep'!$D$2:$D$468,"")</f>
        <v/>
      </c>
    </row>
    <row r="215" spans="1:16" x14ac:dyDescent="0.35">
      <c r="A215">
        <v>4057192912</v>
      </c>
      <c r="B215" s="1">
        <v>42457</v>
      </c>
      <c r="C215">
        <v>8</v>
      </c>
      <c r="D215">
        <v>9.9999997764825804E-3</v>
      </c>
      <c r="E215">
        <v>9.9999997764825804E-3</v>
      </c>
      <c r="F215">
        <v>0</v>
      </c>
      <c r="G215">
        <v>0</v>
      </c>
      <c r="H215">
        <v>0</v>
      </c>
      <c r="I215">
        <v>9.9999997764825804E-3</v>
      </c>
      <c r="J215">
        <v>0</v>
      </c>
      <c r="K215">
        <v>0</v>
      </c>
      <c r="L215">
        <v>0</v>
      </c>
      <c r="M215">
        <v>1</v>
      </c>
      <c r="N215">
        <v>1439</v>
      </c>
      <c r="O215">
        <v>1778</v>
      </c>
      <c r="P215" s="3" t="str" cm="1">
        <f t="array" ref="P215">_xlfn.XLOOKUP(A215&amp;B215,'[1]Daily Sleep'!$A$2:$A$468&amp;'[1]Daily Sleep'!$B$2:$B$468,'[1]Daily Sleep'!$D$2:$D$468,"")</f>
        <v/>
      </c>
    </row>
    <row r="216" spans="1:16" x14ac:dyDescent="0.35">
      <c r="A216">
        <v>4057192912</v>
      </c>
      <c r="B216" s="1">
        <v>42458</v>
      </c>
      <c r="C216">
        <v>5137</v>
      </c>
      <c r="D216">
        <v>3.7599999904632599</v>
      </c>
      <c r="E216">
        <v>3.7599999904632599</v>
      </c>
      <c r="F216">
        <v>0</v>
      </c>
      <c r="G216">
        <v>0</v>
      </c>
      <c r="H216">
        <v>0</v>
      </c>
      <c r="I216">
        <v>3.7599999904632599</v>
      </c>
      <c r="J216">
        <v>0</v>
      </c>
      <c r="K216">
        <v>0</v>
      </c>
      <c r="L216">
        <v>0</v>
      </c>
      <c r="M216">
        <v>160</v>
      </c>
      <c r="N216">
        <v>1280</v>
      </c>
      <c r="O216">
        <v>2293</v>
      </c>
      <c r="P216" s="3" t="str" cm="1">
        <f t="array" ref="P216">_xlfn.XLOOKUP(A216&amp;B216,'[1]Daily Sleep'!$A$2:$A$468&amp;'[1]Daily Sleep'!$B$2:$B$468,'[1]Daily Sleep'!$D$2:$D$468,"")</f>
        <v/>
      </c>
    </row>
    <row r="217" spans="1:16" x14ac:dyDescent="0.35">
      <c r="A217">
        <v>4057192912</v>
      </c>
      <c r="B217" s="1">
        <v>42459</v>
      </c>
      <c r="C217">
        <v>5419</v>
      </c>
      <c r="D217">
        <v>4</v>
      </c>
      <c r="E217">
        <v>4.5700001716613796</v>
      </c>
      <c r="F217">
        <v>5.5842999368906E-2</v>
      </c>
      <c r="G217">
        <v>0</v>
      </c>
      <c r="H217">
        <v>0</v>
      </c>
      <c r="I217">
        <v>3.9100000858306898</v>
      </c>
      <c r="J217">
        <v>5.9999998658895499E-2</v>
      </c>
      <c r="K217">
        <v>0</v>
      </c>
      <c r="L217">
        <v>0</v>
      </c>
      <c r="M217">
        <v>145</v>
      </c>
      <c r="N217">
        <v>1295</v>
      </c>
      <c r="O217">
        <v>2259</v>
      </c>
      <c r="P217" s="3" t="str" cm="1">
        <f t="array" ref="P217">_xlfn.XLOOKUP(A217&amp;B217,'[1]Daily Sleep'!$A$2:$A$468&amp;'[1]Daily Sleep'!$B$2:$B$468,'[1]Daily Sleep'!$D$2:$D$468,"")</f>
        <v/>
      </c>
    </row>
    <row r="218" spans="1:16" x14ac:dyDescent="0.35">
      <c r="A218">
        <v>4057192912</v>
      </c>
      <c r="B218" s="1">
        <v>42460</v>
      </c>
      <c r="C218">
        <v>0</v>
      </c>
      <c r="D218">
        <v>0</v>
      </c>
      <c r="E218">
        <v>0</v>
      </c>
      <c r="F218">
        <v>0</v>
      </c>
      <c r="G218">
        <v>0</v>
      </c>
      <c r="H218">
        <v>0</v>
      </c>
      <c r="I218">
        <v>0</v>
      </c>
      <c r="J218">
        <v>0</v>
      </c>
      <c r="K218">
        <v>0</v>
      </c>
      <c r="L218">
        <v>0</v>
      </c>
      <c r="M218">
        <v>0</v>
      </c>
      <c r="N218">
        <v>1440</v>
      </c>
      <c r="O218">
        <v>1776</v>
      </c>
      <c r="P218" s="3" t="str" cm="1">
        <f t="array" ref="P218">_xlfn.XLOOKUP(A218&amp;B218,'[1]Daily Sleep'!$A$2:$A$468&amp;'[1]Daily Sleep'!$B$2:$B$468,'[1]Daily Sleep'!$D$2:$D$468,"")</f>
        <v/>
      </c>
    </row>
    <row r="219" spans="1:16" x14ac:dyDescent="0.35">
      <c r="A219">
        <v>4057192912</v>
      </c>
      <c r="B219" s="1">
        <v>42461</v>
      </c>
      <c r="C219">
        <v>0</v>
      </c>
      <c r="D219">
        <v>0</v>
      </c>
      <c r="E219">
        <v>0</v>
      </c>
      <c r="F219">
        <v>0</v>
      </c>
      <c r="G219">
        <v>0</v>
      </c>
      <c r="H219">
        <v>0</v>
      </c>
      <c r="I219">
        <v>0</v>
      </c>
      <c r="J219">
        <v>0</v>
      </c>
      <c r="K219">
        <v>0</v>
      </c>
      <c r="L219">
        <v>0</v>
      </c>
      <c r="M219">
        <v>0</v>
      </c>
      <c r="N219">
        <v>1440</v>
      </c>
      <c r="O219">
        <v>1776</v>
      </c>
      <c r="P219" s="3" t="str" cm="1">
        <f t="array" ref="P219">_xlfn.XLOOKUP(A219&amp;B219,'[1]Daily Sleep'!$A$2:$A$468&amp;'[1]Daily Sleep'!$B$2:$B$468,'[1]Daily Sleep'!$D$2:$D$468,"")</f>
        <v/>
      </c>
    </row>
    <row r="220" spans="1:16" x14ac:dyDescent="0.35">
      <c r="A220">
        <v>4057192912</v>
      </c>
      <c r="B220" s="1">
        <v>42462</v>
      </c>
      <c r="C220">
        <v>0</v>
      </c>
      <c r="D220">
        <v>0</v>
      </c>
      <c r="E220">
        <v>0</v>
      </c>
      <c r="F220">
        <v>0</v>
      </c>
      <c r="G220">
        <v>0</v>
      </c>
      <c r="H220">
        <v>0</v>
      </c>
      <c r="I220">
        <v>0</v>
      </c>
      <c r="J220">
        <v>0</v>
      </c>
      <c r="K220">
        <v>0</v>
      </c>
      <c r="L220">
        <v>0</v>
      </c>
      <c r="M220">
        <v>0</v>
      </c>
      <c r="N220">
        <v>1440</v>
      </c>
      <c r="O220">
        <v>1776</v>
      </c>
      <c r="P220" s="3" t="str" cm="1">
        <f t="array" ref="P220">_xlfn.XLOOKUP(A220&amp;B220,'[1]Daily Sleep'!$A$2:$A$468&amp;'[1]Daily Sleep'!$B$2:$B$468,'[1]Daily Sleep'!$D$2:$D$468,"")</f>
        <v/>
      </c>
    </row>
    <row r="221" spans="1:16" x14ac:dyDescent="0.35">
      <c r="A221">
        <v>4057192912</v>
      </c>
      <c r="B221" s="1">
        <v>42463</v>
      </c>
      <c r="C221">
        <v>0</v>
      </c>
      <c r="D221">
        <v>0</v>
      </c>
      <c r="E221">
        <v>0</v>
      </c>
      <c r="F221">
        <v>0</v>
      </c>
      <c r="G221">
        <v>0</v>
      </c>
      <c r="H221">
        <v>0</v>
      </c>
      <c r="I221">
        <v>0</v>
      </c>
      <c r="J221">
        <v>0</v>
      </c>
      <c r="K221">
        <v>0</v>
      </c>
      <c r="L221">
        <v>0</v>
      </c>
      <c r="M221">
        <v>0</v>
      </c>
      <c r="N221">
        <v>1440</v>
      </c>
      <c r="O221">
        <v>1776</v>
      </c>
      <c r="P221" s="3" t="str" cm="1">
        <f t="array" ref="P221">_xlfn.XLOOKUP(A221&amp;B221,'[1]Daily Sleep'!$A$2:$A$468&amp;'[1]Daily Sleep'!$B$2:$B$468,'[1]Daily Sleep'!$D$2:$D$468,"")</f>
        <v/>
      </c>
    </row>
    <row r="222" spans="1:16" x14ac:dyDescent="0.35">
      <c r="A222">
        <v>4057192912</v>
      </c>
      <c r="B222" s="1">
        <v>42464</v>
      </c>
      <c r="C222">
        <v>0</v>
      </c>
      <c r="D222">
        <v>0</v>
      </c>
      <c r="E222">
        <v>0</v>
      </c>
      <c r="F222">
        <v>0</v>
      </c>
      <c r="G222">
        <v>0</v>
      </c>
      <c r="H222">
        <v>0</v>
      </c>
      <c r="I222">
        <v>0</v>
      </c>
      <c r="J222">
        <v>0</v>
      </c>
      <c r="K222">
        <v>0</v>
      </c>
      <c r="L222">
        <v>0</v>
      </c>
      <c r="M222">
        <v>0</v>
      </c>
      <c r="N222">
        <v>1440</v>
      </c>
      <c r="O222">
        <v>1776</v>
      </c>
      <c r="P222" s="3" t="str" cm="1">
        <f t="array" ref="P222">_xlfn.XLOOKUP(A222&amp;B222,'[1]Daily Sleep'!$A$2:$A$468&amp;'[1]Daily Sleep'!$B$2:$B$468,'[1]Daily Sleep'!$D$2:$D$468,"")</f>
        <v/>
      </c>
    </row>
    <row r="223" spans="1:16" x14ac:dyDescent="0.35">
      <c r="A223">
        <v>4057192912</v>
      </c>
      <c r="B223" s="1">
        <v>42465</v>
      </c>
      <c r="C223">
        <v>0</v>
      </c>
      <c r="D223">
        <v>0</v>
      </c>
      <c r="E223">
        <v>0</v>
      </c>
      <c r="F223">
        <v>0</v>
      </c>
      <c r="G223">
        <v>0</v>
      </c>
      <c r="H223">
        <v>0</v>
      </c>
      <c r="I223">
        <v>0</v>
      </c>
      <c r="J223">
        <v>0</v>
      </c>
      <c r="K223">
        <v>0</v>
      </c>
      <c r="L223">
        <v>0</v>
      </c>
      <c r="M223">
        <v>0</v>
      </c>
      <c r="N223">
        <v>1440</v>
      </c>
      <c r="O223">
        <v>1776</v>
      </c>
      <c r="P223" s="3" t="str" cm="1">
        <f t="array" ref="P223">_xlfn.XLOOKUP(A223&amp;B223,'[1]Daily Sleep'!$A$2:$A$468&amp;'[1]Daily Sleep'!$B$2:$B$468,'[1]Daily Sleep'!$D$2:$D$468,"")</f>
        <v/>
      </c>
    </row>
    <row r="224" spans="1:16" x14ac:dyDescent="0.35">
      <c r="A224">
        <v>4057192912</v>
      </c>
      <c r="B224" s="1">
        <v>42466</v>
      </c>
      <c r="C224">
        <v>18</v>
      </c>
      <c r="D224">
        <v>9.9999997764825804E-3</v>
      </c>
      <c r="E224">
        <v>9.9999997764825804E-3</v>
      </c>
      <c r="F224">
        <v>0</v>
      </c>
      <c r="G224">
        <v>0</v>
      </c>
      <c r="H224">
        <v>0</v>
      </c>
      <c r="I224">
        <v>9.9999997764825804E-3</v>
      </c>
      <c r="J224">
        <v>0</v>
      </c>
      <c r="K224">
        <v>0</v>
      </c>
      <c r="L224">
        <v>0</v>
      </c>
      <c r="M224">
        <v>2</v>
      </c>
      <c r="N224">
        <v>1438</v>
      </c>
      <c r="O224">
        <v>1780</v>
      </c>
      <c r="P224" s="3" t="str" cm="1">
        <f t="array" ref="P224">_xlfn.XLOOKUP(A224&amp;B224,'[1]Daily Sleep'!$A$2:$A$468&amp;'[1]Daily Sleep'!$B$2:$B$468,'[1]Daily Sleep'!$D$2:$D$468,"")</f>
        <v/>
      </c>
    </row>
    <row r="225" spans="1:16" x14ac:dyDescent="0.35">
      <c r="A225">
        <v>4057192912</v>
      </c>
      <c r="B225" s="1">
        <v>42467</v>
      </c>
      <c r="C225">
        <v>4</v>
      </c>
      <c r="D225">
        <v>0</v>
      </c>
      <c r="E225">
        <v>0</v>
      </c>
      <c r="F225">
        <v>0</v>
      </c>
      <c r="G225">
        <v>0</v>
      </c>
      <c r="H225">
        <v>0</v>
      </c>
      <c r="I225">
        <v>0</v>
      </c>
      <c r="J225">
        <v>0</v>
      </c>
      <c r="K225">
        <v>0</v>
      </c>
      <c r="L225">
        <v>0</v>
      </c>
      <c r="M225">
        <v>1</v>
      </c>
      <c r="N225">
        <v>1439</v>
      </c>
      <c r="O225">
        <v>1778</v>
      </c>
      <c r="P225" s="3" t="str" cm="1">
        <f t="array" ref="P225">_xlfn.XLOOKUP(A225&amp;B225,'[1]Daily Sleep'!$A$2:$A$468&amp;'[1]Daily Sleep'!$B$2:$B$468,'[1]Daily Sleep'!$D$2:$D$468,"")</f>
        <v/>
      </c>
    </row>
    <row r="226" spans="1:16" x14ac:dyDescent="0.35">
      <c r="A226">
        <v>4057192912</v>
      </c>
      <c r="B226" s="1">
        <v>42468</v>
      </c>
      <c r="C226">
        <v>8426</v>
      </c>
      <c r="D226">
        <v>6.1599998474121103</v>
      </c>
      <c r="E226">
        <v>6.1599998474121103</v>
      </c>
      <c r="F226">
        <v>0</v>
      </c>
      <c r="G226">
        <v>0.129999995231628</v>
      </c>
      <c r="H226">
        <v>5.4899997711181596</v>
      </c>
      <c r="I226">
        <v>0.54000002145767201</v>
      </c>
      <c r="J226">
        <v>0</v>
      </c>
      <c r="K226">
        <v>2</v>
      </c>
      <c r="L226">
        <v>120</v>
      </c>
      <c r="M226">
        <v>25</v>
      </c>
      <c r="N226">
        <v>1293</v>
      </c>
      <c r="O226">
        <v>2360</v>
      </c>
      <c r="P226" s="3" t="str" cm="1">
        <f t="array" ref="P226">_xlfn.XLOOKUP(A226&amp;B226,'[1]Daily Sleep'!$A$2:$A$468&amp;'[1]Daily Sleep'!$B$2:$B$468,'[1]Daily Sleep'!$D$2:$D$468,"")</f>
        <v/>
      </c>
    </row>
    <row r="227" spans="1:16" x14ac:dyDescent="0.35">
      <c r="A227">
        <v>4057192912</v>
      </c>
      <c r="B227" s="1">
        <v>42469</v>
      </c>
      <c r="C227">
        <v>1650</v>
      </c>
      <c r="D227">
        <v>1.21000003814697</v>
      </c>
      <c r="E227">
        <v>1.21000003814697</v>
      </c>
      <c r="F227">
        <v>0</v>
      </c>
      <c r="G227">
        <v>0</v>
      </c>
      <c r="H227">
        <v>0</v>
      </c>
      <c r="I227">
        <v>1.21000003814697</v>
      </c>
      <c r="J227">
        <v>0</v>
      </c>
      <c r="K227">
        <v>0</v>
      </c>
      <c r="L227">
        <v>0</v>
      </c>
      <c r="M227">
        <v>60</v>
      </c>
      <c r="N227">
        <v>1380</v>
      </c>
      <c r="O227">
        <v>1952</v>
      </c>
      <c r="P227" s="3" t="str" cm="1">
        <f t="array" ref="P227">_xlfn.XLOOKUP(A227&amp;B227,'[1]Daily Sleep'!$A$2:$A$468&amp;'[1]Daily Sleep'!$B$2:$B$468,'[1]Daily Sleep'!$D$2:$D$468,"")</f>
        <v/>
      </c>
    </row>
    <row r="228" spans="1:16" x14ac:dyDescent="0.35">
      <c r="A228">
        <v>4057192912</v>
      </c>
      <c r="B228" s="1">
        <v>42470</v>
      </c>
      <c r="C228">
        <v>3434</v>
      </c>
      <c r="D228">
        <v>2.5099999904632599</v>
      </c>
      <c r="E228">
        <v>2.5099999904632599</v>
      </c>
      <c r="F228">
        <v>0</v>
      </c>
      <c r="G228">
        <v>7.0000000298023196E-2</v>
      </c>
      <c r="H228">
        <v>0.30000001192092901</v>
      </c>
      <c r="I228">
        <v>2.1400001049041699</v>
      </c>
      <c r="J228">
        <v>0</v>
      </c>
      <c r="K228">
        <v>1</v>
      </c>
      <c r="L228">
        <v>7</v>
      </c>
      <c r="M228">
        <v>108</v>
      </c>
      <c r="N228">
        <v>1324</v>
      </c>
      <c r="O228">
        <v>2101</v>
      </c>
      <c r="P228" s="3" t="str" cm="1">
        <f t="array" ref="P228">_xlfn.XLOOKUP(A228&amp;B228,'[1]Daily Sleep'!$A$2:$A$468&amp;'[1]Daily Sleep'!$B$2:$B$468,'[1]Daily Sleep'!$D$2:$D$468,"")</f>
        <v/>
      </c>
    </row>
    <row r="229" spans="1:16" x14ac:dyDescent="0.35">
      <c r="A229">
        <v>4057192912</v>
      </c>
      <c r="B229" s="1">
        <v>42471</v>
      </c>
      <c r="C229">
        <v>6801</v>
      </c>
      <c r="D229">
        <v>4.9800000190734899</v>
      </c>
      <c r="E229">
        <v>4.9800000190734899</v>
      </c>
      <c r="F229">
        <v>0</v>
      </c>
      <c r="G229">
        <v>0</v>
      </c>
      <c r="H229">
        <v>0</v>
      </c>
      <c r="I229">
        <v>4.9699997901916504</v>
      </c>
      <c r="J229">
        <v>0</v>
      </c>
      <c r="K229">
        <v>0</v>
      </c>
      <c r="L229">
        <v>0</v>
      </c>
      <c r="M229">
        <v>193</v>
      </c>
      <c r="N229">
        <v>1247</v>
      </c>
      <c r="O229">
        <v>2393</v>
      </c>
      <c r="P229" s="3" t="str" cm="1">
        <f t="array" ref="P229">_xlfn.XLOOKUP(A229&amp;B229,'[1]Daily Sleep'!$A$2:$A$468&amp;'[1]Daily Sleep'!$B$2:$B$468,'[1]Daily Sleep'!$D$2:$D$468,"")</f>
        <v/>
      </c>
    </row>
    <row r="230" spans="1:16" x14ac:dyDescent="0.35">
      <c r="A230">
        <v>4057192912</v>
      </c>
      <c r="B230" s="1">
        <v>42472</v>
      </c>
      <c r="C230">
        <v>187</v>
      </c>
      <c r="D230">
        <v>0.140000000596046</v>
      </c>
      <c r="E230">
        <v>0.140000000596046</v>
      </c>
      <c r="F230">
        <v>0</v>
      </c>
      <c r="G230">
        <v>0</v>
      </c>
      <c r="H230">
        <v>0</v>
      </c>
      <c r="I230">
        <v>0.140000000596046</v>
      </c>
      <c r="J230">
        <v>0</v>
      </c>
      <c r="K230">
        <v>0</v>
      </c>
      <c r="L230">
        <v>0</v>
      </c>
      <c r="M230">
        <v>11</v>
      </c>
      <c r="N230">
        <v>400</v>
      </c>
      <c r="O230">
        <v>538</v>
      </c>
      <c r="P230" s="3" t="str" cm="1">
        <f t="array" ref="P230">_xlfn.XLOOKUP(A230&amp;B230,'[1]Daily Sleep'!$A$2:$A$468&amp;'[1]Daily Sleep'!$B$2:$B$468,'[1]Daily Sleep'!$D$2:$D$468,"")</f>
        <v/>
      </c>
    </row>
    <row r="231" spans="1:16" x14ac:dyDescent="0.35">
      <c r="A231">
        <v>4319703577</v>
      </c>
      <c r="B231" s="1">
        <v>42458</v>
      </c>
      <c r="C231">
        <v>5643</v>
      </c>
      <c r="D231">
        <v>3.78999996185303</v>
      </c>
      <c r="E231">
        <v>3.78999996185303</v>
      </c>
      <c r="F231">
        <v>0</v>
      </c>
      <c r="G231">
        <v>0.230000004172325</v>
      </c>
      <c r="H231">
        <v>0.33000001311302202</v>
      </c>
      <c r="I231">
        <v>3.2300000190734899</v>
      </c>
      <c r="J231">
        <v>0</v>
      </c>
      <c r="K231">
        <v>3</v>
      </c>
      <c r="L231">
        <v>8</v>
      </c>
      <c r="M231">
        <v>199</v>
      </c>
      <c r="N231">
        <v>683</v>
      </c>
      <c r="O231">
        <v>1958</v>
      </c>
      <c r="P231" s="3" cm="1">
        <f t="array" ref="P231">_xlfn.XLOOKUP(A231&amp;B231,'[1]Daily Sleep'!$A$2:$A$468&amp;'[1]Daily Sleep'!$B$2:$B$468,'[1]Daily Sleep'!$D$2:$D$468,"")</f>
        <v>8.5666666666666664</v>
      </c>
    </row>
    <row r="232" spans="1:16" x14ac:dyDescent="0.35">
      <c r="A232">
        <v>4319703577</v>
      </c>
      <c r="B232" s="1">
        <v>42459</v>
      </c>
      <c r="C232">
        <v>9043</v>
      </c>
      <c r="D232">
        <v>6.0700001716613796</v>
      </c>
      <c r="E232">
        <v>6.0700001716613796</v>
      </c>
      <c r="F232">
        <v>0</v>
      </c>
      <c r="G232">
        <v>0.25</v>
      </c>
      <c r="H232">
        <v>0.43000000715255698</v>
      </c>
      <c r="I232">
        <v>5.3699998855590803</v>
      </c>
      <c r="J232">
        <v>0</v>
      </c>
      <c r="K232">
        <v>4</v>
      </c>
      <c r="L232">
        <v>12</v>
      </c>
      <c r="M232">
        <v>244</v>
      </c>
      <c r="N232">
        <v>702</v>
      </c>
      <c r="O232">
        <v>2141</v>
      </c>
      <c r="P232" s="3" cm="1">
        <f t="array" ref="P232">_xlfn.XLOOKUP(A232&amp;B232,'[1]Daily Sleep'!$A$2:$A$468&amp;'[1]Daily Sleep'!$B$2:$B$468,'[1]Daily Sleep'!$D$2:$D$468,"")</f>
        <v>7.5666666666666664</v>
      </c>
    </row>
    <row r="233" spans="1:16" x14ac:dyDescent="0.35">
      <c r="A233">
        <v>4319703577</v>
      </c>
      <c r="B233" s="1">
        <v>42460</v>
      </c>
      <c r="C233">
        <v>8144</v>
      </c>
      <c r="D233">
        <v>5.46000003814697</v>
      </c>
      <c r="E233">
        <v>5.46000003814697</v>
      </c>
      <c r="F233">
        <v>0</v>
      </c>
      <c r="G233">
        <v>0.25</v>
      </c>
      <c r="H233">
        <v>0.61000001430511497</v>
      </c>
      <c r="I233">
        <v>4.6100001335143999</v>
      </c>
      <c r="J233">
        <v>0</v>
      </c>
      <c r="K233">
        <v>4</v>
      </c>
      <c r="L233">
        <v>17</v>
      </c>
      <c r="M233">
        <v>247</v>
      </c>
      <c r="N233">
        <v>1125</v>
      </c>
      <c r="O233">
        <v>2129</v>
      </c>
      <c r="P233" s="3" cm="1">
        <f t="array" ref="P233">_xlfn.XLOOKUP(A233&amp;B233,'[1]Daily Sleep'!$A$2:$A$468&amp;'[1]Daily Sleep'!$B$2:$B$468,'[1]Daily Sleep'!$D$2:$D$468,"")</f>
        <v>0.6333333333333333</v>
      </c>
    </row>
    <row r="234" spans="1:16" x14ac:dyDescent="0.35">
      <c r="A234">
        <v>4319703577</v>
      </c>
      <c r="B234" s="1">
        <v>42461</v>
      </c>
      <c r="C234">
        <v>9343</v>
      </c>
      <c r="D234">
        <v>6.2699999809265101</v>
      </c>
      <c r="E234">
        <v>6.2699999809265101</v>
      </c>
      <c r="F234">
        <v>0</v>
      </c>
      <c r="G234">
        <v>0.95999997854232799</v>
      </c>
      <c r="H234">
        <v>0.85000002384185802</v>
      </c>
      <c r="I234">
        <v>4.46000003814697</v>
      </c>
      <c r="J234">
        <v>0</v>
      </c>
      <c r="K234">
        <v>14</v>
      </c>
      <c r="L234">
        <v>20</v>
      </c>
      <c r="M234">
        <v>268</v>
      </c>
      <c r="N234">
        <v>654</v>
      </c>
      <c r="O234">
        <v>2216</v>
      </c>
      <c r="P234" s="3" cm="1">
        <f t="array" ref="P234">_xlfn.XLOOKUP(A234&amp;B234,'[1]Daily Sleep'!$A$2:$A$468&amp;'[1]Daily Sleep'!$B$2:$B$468,'[1]Daily Sleep'!$D$2:$D$468,"")</f>
        <v>7.7666666666666666</v>
      </c>
    </row>
    <row r="235" spans="1:16" x14ac:dyDescent="0.35">
      <c r="A235">
        <v>4319703577</v>
      </c>
      <c r="B235" s="1">
        <v>42462</v>
      </c>
      <c r="C235">
        <v>8405</v>
      </c>
      <c r="D235">
        <v>5.6599998474121103</v>
      </c>
      <c r="E235">
        <v>5.6599998474121103</v>
      </c>
      <c r="F235">
        <v>0</v>
      </c>
      <c r="G235">
        <v>1.12999999523163</v>
      </c>
      <c r="H235">
        <v>0.18999999761581399</v>
      </c>
      <c r="I235">
        <v>4.3400001525878897</v>
      </c>
      <c r="J235">
        <v>0</v>
      </c>
      <c r="K235">
        <v>15</v>
      </c>
      <c r="L235">
        <v>4</v>
      </c>
      <c r="M235">
        <v>257</v>
      </c>
      <c r="N235">
        <v>621</v>
      </c>
      <c r="O235">
        <v>2154</v>
      </c>
      <c r="P235" s="3" cm="1">
        <f t="array" ref="P235">_xlfn.XLOOKUP(A235&amp;B235,'[1]Daily Sleep'!$A$2:$A$468&amp;'[1]Daily Sleep'!$B$2:$B$468,'[1]Daily Sleep'!$D$2:$D$468,"")</f>
        <v>8.8166666666666664</v>
      </c>
    </row>
    <row r="236" spans="1:16" x14ac:dyDescent="0.35">
      <c r="A236">
        <v>4319703577</v>
      </c>
      <c r="B236" s="1">
        <v>42463</v>
      </c>
      <c r="C236">
        <v>8223</v>
      </c>
      <c r="D236">
        <v>5.5199999809265101</v>
      </c>
      <c r="E236">
        <v>5.5199999809265101</v>
      </c>
      <c r="F236">
        <v>0</v>
      </c>
      <c r="G236">
        <v>0.80000001192092896</v>
      </c>
      <c r="H236">
        <v>1.5099999904632599</v>
      </c>
      <c r="I236">
        <v>3.21000003814697</v>
      </c>
      <c r="J236">
        <v>0</v>
      </c>
      <c r="K236">
        <v>12</v>
      </c>
      <c r="L236">
        <v>37</v>
      </c>
      <c r="M236">
        <v>257</v>
      </c>
      <c r="N236">
        <v>551</v>
      </c>
      <c r="O236">
        <v>2178</v>
      </c>
      <c r="P236" s="3" cm="1">
        <f t="array" ref="P236">_xlfn.XLOOKUP(A236&amp;B236,'[1]Daily Sleep'!$A$2:$A$468&amp;'[1]Daily Sleep'!$B$2:$B$468,'[1]Daily Sleep'!$D$2:$D$468,"")</f>
        <v>9.4666666666666668</v>
      </c>
    </row>
    <row r="237" spans="1:16" x14ac:dyDescent="0.35">
      <c r="A237">
        <v>4319703577</v>
      </c>
      <c r="B237" s="1">
        <v>42464</v>
      </c>
      <c r="C237">
        <v>10067</v>
      </c>
      <c r="D237">
        <v>6.7600002288818404</v>
      </c>
      <c r="E237">
        <v>6.7600002288818404</v>
      </c>
      <c r="F237">
        <v>0</v>
      </c>
      <c r="G237">
        <v>0.36000001430511502</v>
      </c>
      <c r="H237">
        <v>1.41999995708466</v>
      </c>
      <c r="I237">
        <v>4.9699997901916504</v>
      </c>
      <c r="J237">
        <v>0</v>
      </c>
      <c r="K237">
        <v>5</v>
      </c>
      <c r="L237">
        <v>39</v>
      </c>
      <c r="M237">
        <v>313</v>
      </c>
      <c r="N237">
        <v>578</v>
      </c>
      <c r="O237">
        <v>2308</v>
      </c>
      <c r="P237" s="3" cm="1">
        <f t="array" ref="P237">_xlfn.XLOOKUP(A237&amp;B237,'[1]Daily Sleep'!$A$2:$A$468&amp;'[1]Daily Sleep'!$B$2:$B$468,'[1]Daily Sleep'!$D$2:$D$468,"")</f>
        <v>7.8833333333333337</v>
      </c>
    </row>
    <row r="238" spans="1:16" x14ac:dyDescent="0.35">
      <c r="A238">
        <v>4319703577</v>
      </c>
      <c r="B238" s="1">
        <v>42465</v>
      </c>
      <c r="C238">
        <v>8359</v>
      </c>
      <c r="D238">
        <v>5.6300001144409197</v>
      </c>
      <c r="E238">
        <v>5.6300001144409197</v>
      </c>
      <c r="F238">
        <v>0</v>
      </c>
      <c r="G238">
        <v>0.230000004172325</v>
      </c>
      <c r="H238">
        <v>0.52999997138977095</v>
      </c>
      <c r="I238">
        <v>4.8699998855590803</v>
      </c>
      <c r="J238">
        <v>0</v>
      </c>
      <c r="K238">
        <v>3</v>
      </c>
      <c r="L238">
        <v>14</v>
      </c>
      <c r="M238">
        <v>311</v>
      </c>
      <c r="N238">
        <v>638</v>
      </c>
      <c r="O238">
        <v>2201</v>
      </c>
      <c r="P238" s="3" cm="1">
        <f t="array" ref="P238">_xlfn.XLOOKUP(A238&amp;B238,'[1]Daily Sleep'!$A$2:$A$468&amp;'[1]Daily Sleep'!$B$2:$B$468,'[1]Daily Sleep'!$D$2:$D$468,"")</f>
        <v>7.5</v>
      </c>
    </row>
    <row r="239" spans="1:16" x14ac:dyDescent="0.35">
      <c r="A239">
        <v>4319703577</v>
      </c>
      <c r="B239" s="1">
        <v>42466</v>
      </c>
      <c r="C239">
        <v>10946</v>
      </c>
      <c r="D239">
        <v>7.3499999046325701</v>
      </c>
      <c r="E239">
        <v>7.3499999046325701</v>
      </c>
      <c r="F239">
        <v>0</v>
      </c>
      <c r="G239">
        <v>0.54000002145767201</v>
      </c>
      <c r="H239">
        <v>2.0899999141693102</v>
      </c>
      <c r="I239">
        <v>4.7199997901916504</v>
      </c>
      <c r="J239">
        <v>0</v>
      </c>
      <c r="K239">
        <v>8</v>
      </c>
      <c r="L239">
        <v>51</v>
      </c>
      <c r="M239">
        <v>308</v>
      </c>
      <c r="N239">
        <v>569</v>
      </c>
      <c r="O239">
        <v>2341</v>
      </c>
      <c r="P239" s="3" cm="1">
        <f t="array" ref="P239">_xlfn.XLOOKUP(A239&amp;B239,'[1]Daily Sleep'!$A$2:$A$468&amp;'[1]Daily Sleep'!$B$2:$B$468,'[1]Daily Sleep'!$D$2:$D$468,"")</f>
        <v>7.833333333333333</v>
      </c>
    </row>
    <row r="240" spans="1:16" x14ac:dyDescent="0.35">
      <c r="A240">
        <v>4319703577</v>
      </c>
      <c r="B240" s="1">
        <v>42467</v>
      </c>
      <c r="C240">
        <v>9130</v>
      </c>
      <c r="D240">
        <v>6.1500000953674299</v>
      </c>
      <c r="E240">
        <v>6.1500000953674299</v>
      </c>
      <c r="F240">
        <v>0</v>
      </c>
      <c r="G240">
        <v>0.5</v>
      </c>
      <c r="H240">
        <v>0.37999999523162797</v>
      </c>
      <c r="I240">
        <v>5.2699999809265101</v>
      </c>
      <c r="J240">
        <v>0</v>
      </c>
      <c r="K240">
        <v>7</v>
      </c>
      <c r="L240">
        <v>11</v>
      </c>
      <c r="M240">
        <v>304</v>
      </c>
      <c r="N240">
        <v>668</v>
      </c>
      <c r="O240">
        <v>2236</v>
      </c>
      <c r="P240" s="3" cm="1">
        <f t="array" ref="P240">_xlfn.XLOOKUP(A240&amp;B240,'[1]Daily Sleep'!$A$2:$A$468&amp;'[1]Daily Sleep'!$B$2:$B$468,'[1]Daily Sleep'!$D$2:$D$468,"")</f>
        <v>7.2166666666666668</v>
      </c>
    </row>
    <row r="241" spans="1:16" x14ac:dyDescent="0.35">
      <c r="A241">
        <v>4319703577</v>
      </c>
      <c r="B241" s="1">
        <v>42468</v>
      </c>
      <c r="C241">
        <v>6544</v>
      </c>
      <c r="D241">
        <v>4.4099998474121103</v>
      </c>
      <c r="E241">
        <v>4.4099998474121103</v>
      </c>
      <c r="F241">
        <v>0</v>
      </c>
      <c r="G241">
        <v>0.28999999165535001</v>
      </c>
      <c r="H241">
        <v>0.259999990463257</v>
      </c>
      <c r="I241">
        <v>3.8599998950958301</v>
      </c>
      <c r="J241">
        <v>0</v>
      </c>
      <c r="K241">
        <v>4</v>
      </c>
      <c r="L241">
        <v>6</v>
      </c>
      <c r="M241">
        <v>276</v>
      </c>
      <c r="N241">
        <v>1132</v>
      </c>
      <c r="O241">
        <v>2069</v>
      </c>
      <c r="P241" s="3" t="str" cm="1">
        <f t="array" ref="P241">_xlfn.XLOOKUP(A241&amp;B241,'[1]Daily Sleep'!$A$2:$A$468&amp;'[1]Daily Sleep'!$B$2:$B$468,'[1]Daily Sleep'!$D$2:$D$468,"")</f>
        <v/>
      </c>
    </row>
    <row r="242" spans="1:16" x14ac:dyDescent="0.35">
      <c r="A242">
        <v>4319703577</v>
      </c>
      <c r="B242" s="1">
        <v>42469</v>
      </c>
      <c r="C242">
        <v>0</v>
      </c>
      <c r="D242">
        <v>0</v>
      </c>
      <c r="E242">
        <v>0</v>
      </c>
      <c r="F242">
        <v>0</v>
      </c>
      <c r="G242">
        <v>0</v>
      </c>
      <c r="H242">
        <v>0</v>
      </c>
      <c r="I242">
        <v>0</v>
      </c>
      <c r="J242">
        <v>0</v>
      </c>
      <c r="K242">
        <v>0</v>
      </c>
      <c r="L242">
        <v>0</v>
      </c>
      <c r="M242">
        <v>0</v>
      </c>
      <c r="N242">
        <v>1440</v>
      </c>
      <c r="O242">
        <v>0</v>
      </c>
      <c r="P242" s="3" t="str" cm="1">
        <f t="array" ref="P242">_xlfn.XLOOKUP(A242&amp;B242,'[1]Daily Sleep'!$A$2:$A$468&amp;'[1]Daily Sleep'!$B$2:$B$468,'[1]Daily Sleep'!$D$2:$D$468,"")</f>
        <v/>
      </c>
    </row>
    <row r="243" spans="1:16" x14ac:dyDescent="0.35">
      <c r="A243">
        <v>4388161847</v>
      </c>
      <c r="B243" s="1">
        <v>42458</v>
      </c>
      <c r="C243">
        <v>0</v>
      </c>
      <c r="D243">
        <v>0</v>
      </c>
      <c r="E243">
        <v>0</v>
      </c>
      <c r="F243">
        <v>0</v>
      </c>
      <c r="G243">
        <v>0</v>
      </c>
      <c r="H243">
        <v>0</v>
      </c>
      <c r="I243">
        <v>0</v>
      </c>
      <c r="J243">
        <v>0</v>
      </c>
      <c r="K243">
        <v>0</v>
      </c>
      <c r="L243">
        <v>0</v>
      </c>
      <c r="M243">
        <v>0</v>
      </c>
      <c r="N243">
        <v>1440</v>
      </c>
      <c r="O243">
        <v>1878</v>
      </c>
      <c r="P243" s="3" t="str" cm="1">
        <f t="array" ref="P243">_xlfn.XLOOKUP(A243&amp;B243,'[1]Daily Sleep'!$A$2:$A$468&amp;'[1]Daily Sleep'!$B$2:$B$468,'[1]Daily Sleep'!$D$2:$D$468,"")</f>
        <v/>
      </c>
    </row>
    <row r="244" spans="1:16" x14ac:dyDescent="0.35">
      <c r="A244">
        <v>4388161847</v>
      </c>
      <c r="B244" s="1">
        <v>42459</v>
      </c>
      <c r="C244">
        <v>0</v>
      </c>
      <c r="D244">
        <v>0</v>
      </c>
      <c r="E244">
        <v>0</v>
      </c>
      <c r="F244">
        <v>0</v>
      </c>
      <c r="G244">
        <v>0</v>
      </c>
      <c r="H244">
        <v>0</v>
      </c>
      <c r="I244">
        <v>0</v>
      </c>
      <c r="J244">
        <v>0</v>
      </c>
      <c r="K244">
        <v>0</v>
      </c>
      <c r="L244">
        <v>0</v>
      </c>
      <c r="M244">
        <v>0</v>
      </c>
      <c r="N244">
        <v>1440</v>
      </c>
      <c r="O244">
        <v>1878</v>
      </c>
      <c r="P244" s="3" t="str" cm="1">
        <f t="array" ref="P244">_xlfn.XLOOKUP(A244&amp;B244,'[1]Daily Sleep'!$A$2:$A$468&amp;'[1]Daily Sleep'!$B$2:$B$468,'[1]Daily Sleep'!$D$2:$D$468,"")</f>
        <v/>
      </c>
    </row>
    <row r="245" spans="1:16" x14ac:dyDescent="0.35">
      <c r="A245">
        <v>4388161847</v>
      </c>
      <c r="B245" s="1">
        <v>42460</v>
      </c>
      <c r="C245">
        <v>0</v>
      </c>
      <c r="D245">
        <v>0</v>
      </c>
      <c r="E245">
        <v>0</v>
      </c>
      <c r="F245">
        <v>0</v>
      </c>
      <c r="G245">
        <v>0</v>
      </c>
      <c r="H245">
        <v>0</v>
      </c>
      <c r="I245">
        <v>0</v>
      </c>
      <c r="J245">
        <v>0</v>
      </c>
      <c r="K245">
        <v>0</v>
      </c>
      <c r="L245">
        <v>0</v>
      </c>
      <c r="M245">
        <v>0</v>
      </c>
      <c r="N245">
        <v>1440</v>
      </c>
      <c r="O245">
        <v>1878</v>
      </c>
      <c r="P245" s="3" t="str" cm="1">
        <f t="array" ref="P245">_xlfn.XLOOKUP(A245&amp;B245,'[1]Daily Sleep'!$A$2:$A$468&amp;'[1]Daily Sleep'!$B$2:$B$468,'[1]Daily Sleep'!$D$2:$D$468,"")</f>
        <v/>
      </c>
    </row>
    <row r="246" spans="1:16" x14ac:dyDescent="0.35">
      <c r="A246">
        <v>4388161847</v>
      </c>
      <c r="B246" s="1">
        <v>42461</v>
      </c>
      <c r="C246">
        <v>0</v>
      </c>
      <c r="D246">
        <v>0</v>
      </c>
      <c r="E246">
        <v>0</v>
      </c>
      <c r="F246">
        <v>0</v>
      </c>
      <c r="G246">
        <v>0</v>
      </c>
      <c r="H246">
        <v>0</v>
      </c>
      <c r="I246">
        <v>0</v>
      </c>
      <c r="J246">
        <v>0</v>
      </c>
      <c r="K246">
        <v>0</v>
      </c>
      <c r="L246">
        <v>0</v>
      </c>
      <c r="M246">
        <v>0</v>
      </c>
      <c r="N246">
        <v>1440</v>
      </c>
      <c r="O246">
        <v>1878</v>
      </c>
      <c r="P246" s="3" t="str" cm="1">
        <f t="array" ref="P246">_xlfn.XLOOKUP(A246&amp;B246,'[1]Daily Sleep'!$A$2:$A$468&amp;'[1]Daily Sleep'!$B$2:$B$468,'[1]Daily Sleep'!$D$2:$D$468,"")</f>
        <v/>
      </c>
    </row>
    <row r="247" spans="1:16" x14ac:dyDescent="0.35">
      <c r="A247">
        <v>4388161847</v>
      </c>
      <c r="B247" s="1">
        <v>42462</v>
      </c>
      <c r="C247">
        <v>0</v>
      </c>
      <c r="D247">
        <v>0</v>
      </c>
      <c r="E247">
        <v>0</v>
      </c>
      <c r="F247">
        <v>0</v>
      </c>
      <c r="G247">
        <v>0</v>
      </c>
      <c r="H247">
        <v>0</v>
      </c>
      <c r="I247">
        <v>0</v>
      </c>
      <c r="J247">
        <v>0</v>
      </c>
      <c r="K247">
        <v>0</v>
      </c>
      <c r="L247">
        <v>0</v>
      </c>
      <c r="M247">
        <v>0</v>
      </c>
      <c r="N247">
        <v>1440</v>
      </c>
      <c r="O247">
        <v>1878</v>
      </c>
      <c r="P247" s="3" t="str" cm="1">
        <f t="array" ref="P247">_xlfn.XLOOKUP(A247&amp;B247,'[1]Daily Sleep'!$A$2:$A$468&amp;'[1]Daily Sleep'!$B$2:$B$468,'[1]Daily Sleep'!$D$2:$D$468,"")</f>
        <v/>
      </c>
    </row>
    <row r="248" spans="1:16" x14ac:dyDescent="0.35">
      <c r="A248">
        <v>4388161847</v>
      </c>
      <c r="B248" s="1">
        <v>42463</v>
      </c>
      <c r="C248">
        <v>0</v>
      </c>
      <c r="D248">
        <v>0</v>
      </c>
      <c r="E248">
        <v>0</v>
      </c>
      <c r="F248">
        <v>0</v>
      </c>
      <c r="G248">
        <v>0</v>
      </c>
      <c r="H248">
        <v>0</v>
      </c>
      <c r="I248">
        <v>0</v>
      </c>
      <c r="J248">
        <v>0</v>
      </c>
      <c r="K248">
        <v>0</v>
      </c>
      <c r="L248">
        <v>0</v>
      </c>
      <c r="M248">
        <v>0</v>
      </c>
      <c r="N248">
        <v>1440</v>
      </c>
      <c r="O248">
        <v>1878</v>
      </c>
      <c r="P248" s="3" t="str" cm="1">
        <f t="array" ref="P248">_xlfn.XLOOKUP(A248&amp;B248,'[1]Daily Sleep'!$A$2:$A$468&amp;'[1]Daily Sleep'!$B$2:$B$468,'[1]Daily Sleep'!$D$2:$D$468,"")</f>
        <v/>
      </c>
    </row>
    <row r="249" spans="1:16" x14ac:dyDescent="0.35">
      <c r="A249">
        <v>4388161847</v>
      </c>
      <c r="B249" s="1">
        <v>42464</v>
      </c>
      <c r="C249">
        <v>0</v>
      </c>
      <c r="D249">
        <v>0</v>
      </c>
      <c r="E249">
        <v>0</v>
      </c>
      <c r="F249">
        <v>0</v>
      </c>
      <c r="G249">
        <v>0</v>
      </c>
      <c r="H249">
        <v>0</v>
      </c>
      <c r="I249">
        <v>0</v>
      </c>
      <c r="J249">
        <v>0</v>
      </c>
      <c r="K249">
        <v>0</v>
      </c>
      <c r="L249">
        <v>0</v>
      </c>
      <c r="M249">
        <v>0</v>
      </c>
      <c r="N249">
        <v>1440</v>
      </c>
      <c r="O249">
        <v>1878</v>
      </c>
      <c r="P249" s="3" t="str" cm="1">
        <f t="array" ref="P249">_xlfn.XLOOKUP(A249&amp;B249,'[1]Daily Sleep'!$A$2:$A$468&amp;'[1]Daily Sleep'!$B$2:$B$468,'[1]Daily Sleep'!$D$2:$D$468,"")</f>
        <v/>
      </c>
    </row>
    <row r="250" spans="1:16" x14ac:dyDescent="0.35">
      <c r="A250">
        <v>4388161847</v>
      </c>
      <c r="B250" s="1">
        <v>42465</v>
      </c>
      <c r="C250">
        <v>0</v>
      </c>
      <c r="D250">
        <v>0</v>
      </c>
      <c r="E250">
        <v>0</v>
      </c>
      <c r="F250">
        <v>0</v>
      </c>
      <c r="G250">
        <v>0</v>
      </c>
      <c r="H250">
        <v>0</v>
      </c>
      <c r="I250">
        <v>0</v>
      </c>
      <c r="J250">
        <v>0</v>
      </c>
      <c r="K250">
        <v>0</v>
      </c>
      <c r="L250">
        <v>0</v>
      </c>
      <c r="M250">
        <v>0</v>
      </c>
      <c r="N250">
        <v>994</v>
      </c>
      <c r="O250">
        <v>1296</v>
      </c>
      <c r="P250" s="3" t="str" cm="1">
        <f t="array" ref="P250">_xlfn.XLOOKUP(A250&amp;B250,'[1]Daily Sleep'!$A$2:$A$468&amp;'[1]Daily Sleep'!$B$2:$B$468,'[1]Daily Sleep'!$D$2:$D$468,"")</f>
        <v/>
      </c>
    </row>
    <row r="251" spans="1:16" x14ac:dyDescent="0.35">
      <c r="A251">
        <v>4445114986</v>
      </c>
      <c r="B251" s="1">
        <v>42458</v>
      </c>
      <c r="C251">
        <v>2303</v>
      </c>
      <c r="D251">
        <v>1.54999995231628</v>
      </c>
      <c r="E251">
        <v>1.54999995231628</v>
      </c>
      <c r="F251">
        <v>0</v>
      </c>
      <c r="G251">
        <v>0</v>
      </c>
      <c r="H251">
        <v>0</v>
      </c>
      <c r="I251">
        <v>1.54999995231628</v>
      </c>
      <c r="J251">
        <v>0</v>
      </c>
      <c r="K251">
        <v>0</v>
      </c>
      <c r="L251">
        <v>0</v>
      </c>
      <c r="M251">
        <v>155</v>
      </c>
      <c r="N251">
        <v>807</v>
      </c>
      <c r="O251">
        <v>2010</v>
      </c>
      <c r="P251" s="3" cm="1">
        <f t="array" ref="P251">_xlfn.XLOOKUP(A251&amp;B251,'[1]Daily Sleep'!$A$2:$A$468&amp;'[1]Daily Sleep'!$B$2:$B$468,'[1]Daily Sleep'!$D$2:$D$468,"")</f>
        <v>7.3666666666666663</v>
      </c>
    </row>
    <row r="252" spans="1:16" x14ac:dyDescent="0.35">
      <c r="A252">
        <v>4445114986</v>
      </c>
      <c r="B252" s="1">
        <v>42459</v>
      </c>
      <c r="C252">
        <v>2600</v>
      </c>
      <c r="D252">
        <v>1.7400000095367401</v>
      </c>
      <c r="E252">
        <v>1.7400000095367401</v>
      </c>
      <c r="F252">
        <v>0</v>
      </c>
      <c r="G252">
        <v>0</v>
      </c>
      <c r="H252">
        <v>0</v>
      </c>
      <c r="I252">
        <v>1.7400000095367401</v>
      </c>
      <c r="J252">
        <v>0</v>
      </c>
      <c r="K252">
        <v>0</v>
      </c>
      <c r="L252">
        <v>0</v>
      </c>
      <c r="M252">
        <v>163</v>
      </c>
      <c r="N252">
        <v>1277</v>
      </c>
      <c r="O252">
        <v>2032</v>
      </c>
      <c r="P252" s="3" t="str" cm="1">
        <f t="array" ref="P252">_xlfn.XLOOKUP(A252&amp;B252,'[1]Daily Sleep'!$A$2:$A$468&amp;'[1]Daily Sleep'!$B$2:$B$468,'[1]Daily Sleep'!$D$2:$D$468,"")</f>
        <v/>
      </c>
    </row>
    <row r="253" spans="1:16" x14ac:dyDescent="0.35">
      <c r="A253">
        <v>4445114986</v>
      </c>
      <c r="B253" s="1">
        <v>42460</v>
      </c>
      <c r="C253">
        <v>4804</v>
      </c>
      <c r="D253">
        <v>3.2200000286102299</v>
      </c>
      <c r="E253">
        <v>3.2200000286102299</v>
      </c>
      <c r="F253">
        <v>0</v>
      </c>
      <c r="G253">
        <v>0</v>
      </c>
      <c r="H253">
        <v>0</v>
      </c>
      <c r="I253">
        <v>3.2200000286102299</v>
      </c>
      <c r="J253">
        <v>0</v>
      </c>
      <c r="K253">
        <v>0</v>
      </c>
      <c r="L253">
        <v>0</v>
      </c>
      <c r="M253">
        <v>238</v>
      </c>
      <c r="N253">
        <v>786</v>
      </c>
      <c r="O253">
        <v>2227</v>
      </c>
      <c r="P253" s="3" cm="1">
        <f t="array" ref="P253">_xlfn.XLOOKUP(A253&amp;B253,'[1]Daily Sleep'!$A$2:$A$468&amp;'[1]Daily Sleep'!$B$2:$B$468,'[1]Daily Sleep'!$D$2:$D$468,"")</f>
        <v>6</v>
      </c>
    </row>
    <row r="254" spans="1:16" x14ac:dyDescent="0.35">
      <c r="A254">
        <v>4445114986</v>
      </c>
      <c r="B254" s="1">
        <v>42461</v>
      </c>
      <c r="C254">
        <v>3271</v>
      </c>
      <c r="D254">
        <v>2.1900000572204599</v>
      </c>
      <c r="E254">
        <v>2.1900000572204599</v>
      </c>
      <c r="F254">
        <v>0</v>
      </c>
      <c r="G254">
        <v>0</v>
      </c>
      <c r="H254">
        <v>0</v>
      </c>
      <c r="I254">
        <v>2.1900000572204599</v>
      </c>
      <c r="J254">
        <v>0</v>
      </c>
      <c r="K254">
        <v>0</v>
      </c>
      <c r="L254">
        <v>0</v>
      </c>
      <c r="M254">
        <v>205</v>
      </c>
      <c r="N254">
        <v>898</v>
      </c>
      <c r="O254">
        <v>2133</v>
      </c>
      <c r="P254" s="3" cm="1">
        <f t="array" ref="P254">_xlfn.XLOOKUP(A254&amp;B254,'[1]Daily Sleep'!$A$2:$A$468&amp;'[1]Daily Sleep'!$B$2:$B$468,'[1]Daily Sleep'!$D$2:$D$468,"")</f>
        <v>5.1833333333333336</v>
      </c>
    </row>
    <row r="255" spans="1:16" x14ac:dyDescent="0.35">
      <c r="A255">
        <v>4445114986</v>
      </c>
      <c r="B255" s="1">
        <v>42462</v>
      </c>
      <c r="C255">
        <v>5406</v>
      </c>
      <c r="D255">
        <v>3.6300001144409202</v>
      </c>
      <c r="E255">
        <v>3.6300001144409202</v>
      </c>
      <c r="F255">
        <v>0</v>
      </c>
      <c r="G255">
        <v>0</v>
      </c>
      <c r="H255">
        <v>0</v>
      </c>
      <c r="I255">
        <v>3.6099998950958301</v>
      </c>
      <c r="J255">
        <v>0</v>
      </c>
      <c r="K255">
        <v>0</v>
      </c>
      <c r="L255">
        <v>0</v>
      </c>
      <c r="M255">
        <v>273</v>
      </c>
      <c r="N255">
        <v>672</v>
      </c>
      <c r="O255">
        <v>2317</v>
      </c>
      <c r="P255" s="3" cm="1">
        <f t="array" ref="P255">_xlfn.XLOOKUP(A255&amp;B255,'[1]Daily Sleep'!$A$2:$A$468&amp;'[1]Daily Sleep'!$B$2:$B$468,'[1]Daily Sleep'!$D$2:$D$468,"")</f>
        <v>7.8166666666666664</v>
      </c>
    </row>
    <row r="256" spans="1:16" x14ac:dyDescent="0.35">
      <c r="A256">
        <v>4445114986</v>
      </c>
      <c r="B256" s="1">
        <v>42463</v>
      </c>
      <c r="C256">
        <v>3146</v>
      </c>
      <c r="D256">
        <v>2.1099998950958301</v>
      </c>
      <c r="E256">
        <v>2.1099998950958301</v>
      </c>
      <c r="F256">
        <v>0</v>
      </c>
      <c r="G256">
        <v>0</v>
      </c>
      <c r="H256">
        <v>0</v>
      </c>
      <c r="I256">
        <v>2.1099998950958301</v>
      </c>
      <c r="J256">
        <v>0</v>
      </c>
      <c r="K256">
        <v>0</v>
      </c>
      <c r="L256">
        <v>0</v>
      </c>
      <c r="M256">
        <v>171</v>
      </c>
      <c r="N256">
        <v>1269</v>
      </c>
      <c r="O256">
        <v>2058</v>
      </c>
      <c r="P256" s="3" t="str" cm="1">
        <f t="array" ref="P256">_xlfn.XLOOKUP(A256&amp;B256,'[1]Daily Sleep'!$A$2:$A$468&amp;'[1]Daily Sleep'!$B$2:$B$468,'[1]Daily Sleep'!$D$2:$D$468,"")</f>
        <v/>
      </c>
    </row>
    <row r="257" spans="1:16" x14ac:dyDescent="0.35">
      <c r="A257">
        <v>4445114986</v>
      </c>
      <c r="B257" s="1">
        <v>42464</v>
      </c>
      <c r="C257">
        <v>2422</v>
      </c>
      <c r="D257">
        <v>1.62999999523163</v>
      </c>
      <c r="E257">
        <v>1.62999999523163</v>
      </c>
      <c r="F257">
        <v>0</v>
      </c>
      <c r="G257">
        <v>0</v>
      </c>
      <c r="H257">
        <v>0</v>
      </c>
      <c r="I257">
        <v>1.62999999523163</v>
      </c>
      <c r="J257">
        <v>0</v>
      </c>
      <c r="K257">
        <v>0</v>
      </c>
      <c r="L257">
        <v>0</v>
      </c>
      <c r="M257">
        <v>110</v>
      </c>
      <c r="N257">
        <v>1330</v>
      </c>
      <c r="O257">
        <v>1935</v>
      </c>
      <c r="P257" s="3" t="str" cm="1">
        <f t="array" ref="P257">_xlfn.XLOOKUP(A257&amp;B257,'[1]Daily Sleep'!$A$2:$A$468&amp;'[1]Daily Sleep'!$B$2:$B$468,'[1]Daily Sleep'!$D$2:$D$468,"")</f>
        <v/>
      </c>
    </row>
    <row r="258" spans="1:16" x14ac:dyDescent="0.35">
      <c r="A258">
        <v>4445114986</v>
      </c>
      <c r="B258" s="1">
        <v>42465</v>
      </c>
      <c r="C258">
        <v>4239</v>
      </c>
      <c r="D258">
        <v>2.8399999141693102</v>
      </c>
      <c r="E258">
        <v>2.8399999141693102</v>
      </c>
      <c r="F258">
        <v>0</v>
      </c>
      <c r="G258">
        <v>5.9999998658895499E-2</v>
      </c>
      <c r="H258">
        <v>0.239999994635582</v>
      </c>
      <c r="I258">
        <v>2.5299999713897701</v>
      </c>
      <c r="J258">
        <v>0</v>
      </c>
      <c r="K258">
        <v>1</v>
      </c>
      <c r="L258">
        <v>6</v>
      </c>
      <c r="M258">
        <v>235</v>
      </c>
      <c r="N258">
        <v>702</v>
      </c>
      <c r="O258">
        <v>2217</v>
      </c>
      <c r="P258" s="3" cm="1">
        <f t="array" ref="P258">_xlfn.XLOOKUP(A258&amp;B258,'[1]Daily Sleep'!$A$2:$A$468&amp;'[1]Daily Sleep'!$B$2:$B$468,'[1]Daily Sleep'!$D$2:$D$468,"")</f>
        <v>7.75</v>
      </c>
    </row>
    <row r="259" spans="1:16" x14ac:dyDescent="0.35">
      <c r="A259">
        <v>4445114986</v>
      </c>
      <c r="B259" s="1">
        <v>42466</v>
      </c>
      <c r="C259">
        <v>6911</v>
      </c>
      <c r="D259">
        <v>4.7800002098083496</v>
      </c>
      <c r="E259">
        <v>4.7800002098083496</v>
      </c>
      <c r="F259">
        <v>0</v>
      </c>
      <c r="G259">
        <v>2.3199999332428001</v>
      </c>
      <c r="H259">
        <v>0.10000000149011599</v>
      </c>
      <c r="I259">
        <v>2.3599998950958301</v>
      </c>
      <c r="J259">
        <v>0</v>
      </c>
      <c r="K259">
        <v>28</v>
      </c>
      <c r="L259">
        <v>2</v>
      </c>
      <c r="M259">
        <v>215</v>
      </c>
      <c r="N259">
        <v>745</v>
      </c>
      <c r="O259">
        <v>2374</v>
      </c>
      <c r="P259" s="3" cm="1">
        <f t="array" ref="P259">_xlfn.XLOOKUP(A259&amp;B259,'[1]Daily Sleep'!$A$2:$A$468&amp;'[1]Daily Sleep'!$B$2:$B$468,'[1]Daily Sleep'!$D$2:$D$468,"")</f>
        <v>7.1833333333333336</v>
      </c>
    </row>
    <row r="260" spans="1:16" x14ac:dyDescent="0.35">
      <c r="A260">
        <v>4445114986</v>
      </c>
      <c r="B260" s="1">
        <v>42467</v>
      </c>
      <c r="C260">
        <v>6667</v>
      </c>
      <c r="D260">
        <v>4.6100001335143999</v>
      </c>
      <c r="E260">
        <v>4.6100001335143999</v>
      </c>
      <c r="F260">
        <v>0</v>
      </c>
      <c r="G260">
        <v>2.0199999809265101</v>
      </c>
      <c r="H260">
        <v>5.0000000745058101E-2</v>
      </c>
      <c r="I260">
        <v>2.5499999523162802</v>
      </c>
      <c r="J260">
        <v>0</v>
      </c>
      <c r="K260">
        <v>24</v>
      </c>
      <c r="L260">
        <v>1</v>
      </c>
      <c r="M260">
        <v>208</v>
      </c>
      <c r="N260">
        <v>939</v>
      </c>
      <c r="O260">
        <v>2335</v>
      </c>
      <c r="P260" s="3" cm="1">
        <f t="array" ref="P260">_xlfn.XLOOKUP(A260&amp;B260,'[1]Daily Sleep'!$A$2:$A$468&amp;'[1]Daily Sleep'!$B$2:$B$468,'[1]Daily Sleep'!$D$2:$D$468,"")</f>
        <v>4.3666666666666663</v>
      </c>
    </row>
    <row r="261" spans="1:16" x14ac:dyDescent="0.35">
      <c r="A261">
        <v>4445114986</v>
      </c>
      <c r="B261" s="1">
        <v>42468</v>
      </c>
      <c r="C261">
        <v>5543</v>
      </c>
      <c r="D261">
        <v>3.7200000286102299</v>
      </c>
      <c r="E261">
        <v>3.7200000286102299</v>
      </c>
      <c r="F261">
        <v>0</v>
      </c>
      <c r="G261">
        <v>0</v>
      </c>
      <c r="H261">
        <v>0</v>
      </c>
      <c r="I261">
        <v>3.7200000286102299</v>
      </c>
      <c r="J261">
        <v>0</v>
      </c>
      <c r="K261">
        <v>0</v>
      </c>
      <c r="L261">
        <v>0</v>
      </c>
      <c r="M261">
        <v>266</v>
      </c>
      <c r="N261">
        <v>941</v>
      </c>
      <c r="O261">
        <v>2303</v>
      </c>
      <c r="P261" s="3" cm="1">
        <f t="array" ref="P261">_xlfn.XLOOKUP(A261&amp;B261,'[1]Daily Sleep'!$A$2:$A$468&amp;'[1]Daily Sleep'!$B$2:$B$468,'[1]Daily Sleep'!$D$2:$D$468,"")</f>
        <v>3.65</v>
      </c>
    </row>
    <row r="262" spans="1:16" x14ac:dyDescent="0.35">
      <c r="A262">
        <v>4445114986</v>
      </c>
      <c r="B262" s="1">
        <v>42469</v>
      </c>
      <c r="C262">
        <v>4195</v>
      </c>
      <c r="D262">
        <v>2.8099999427795401</v>
      </c>
      <c r="E262">
        <v>2.8099999427795401</v>
      </c>
      <c r="F262">
        <v>0</v>
      </c>
      <c r="G262">
        <v>0</v>
      </c>
      <c r="H262">
        <v>0</v>
      </c>
      <c r="I262">
        <v>2.8099999427795401</v>
      </c>
      <c r="J262">
        <v>0</v>
      </c>
      <c r="K262">
        <v>0</v>
      </c>
      <c r="L262">
        <v>0</v>
      </c>
      <c r="M262">
        <v>239</v>
      </c>
      <c r="N262">
        <v>758</v>
      </c>
      <c r="O262">
        <v>2210</v>
      </c>
      <c r="P262" s="3" cm="1">
        <f t="array" ref="P262">_xlfn.XLOOKUP(A262&amp;B262,'[1]Daily Sleep'!$A$2:$A$468&amp;'[1]Daily Sleep'!$B$2:$B$468,'[1]Daily Sleep'!$D$2:$D$468,"")</f>
        <v>6.5166666666666666</v>
      </c>
    </row>
    <row r="263" spans="1:16" x14ac:dyDescent="0.35">
      <c r="A263">
        <v>4445114986</v>
      </c>
      <c r="B263" s="1">
        <v>42470</v>
      </c>
      <c r="C263">
        <v>6625</v>
      </c>
      <c r="D263">
        <v>4.4499998092651403</v>
      </c>
      <c r="E263">
        <v>4.4499998092651403</v>
      </c>
      <c r="F263">
        <v>0</v>
      </c>
      <c r="G263">
        <v>0</v>
      </c>
      <c r="H263">
        <v>0</v>
      </c>
      <c r="I263">
        <v>4.4499998092651403</v>
      </c>
      <c r="J263">
        <v>0</v>
      </c>
      <c r="K263">
        <v>0</v>
      </c>
      <c r="L263">
        <v>0</v>
      </c>
      <c r="M263">
        <v>316</v>
      </c>
      <c r="N263">
        <v>755</v>
      </c>
      <c r="O263">
        <v>2424</v>
      </c>
      <c r="P263" s="3" cm="1">
        <f t="array" ref="P263">_xlfn.XLOOKUP(A263&amp;B263,'[1]Daily Sleep'!$A$2:$A$468&amp;'[1]Daily Sleep'!$B$2:$B$468,'[1]Daily Sleep'!$D$2:$D$468,"")</f>
        <v>5.7833333333333332</v>
      </c>
    </row>
    <row r="264" spans="1:16" x14ac:dyDescent="0.35">
      <c r="A264">
        <v>4445114986</v>
      </c>
      <c r="B264" s="1">
        <v>42471</v>
      </c>
      <c r="C264">
        <v>5986</v>
      </c>
      <c r="D264">
        <v>4.1300001144409197</v>
      </c>
      <c r="E264">
        <v>4.1300001144409197</v>
      </c>
      <c r="F264">
        <v>0</v>
      </c>
      <c r="G264">
        <v>1.95000004768372</v>
      </c>
      <c r="H264">
        <v>0.230000004172325</v>
      </c>
      <c r="I264">
        <v>1.95000004768372</v>
      </c>
      <c r="J264">
        <v>0</v>
      </c>
      <c r="K264">
        <v>23</v>
      </c>
      <c r="L264">
        <v>5</v>
      </c>
      <c r="M264">
        <v>195</v>
      </c>
      <c r="N264">
        <v>789</v>
      </c>
      <c r="O264">
        <v>2297</v>
      </c>
      <c r="P264" s="3" cm="1">
        <f t="array" ref="P264">_xlfn.XLOOKUP(A264&amp;B264,'[1]Daily Sleep'!$A$2:$A$468&amp;'[1]Daily Sleep'!$B$2:$B$468,'[1]Daily Sleep'!$D$2:$D$468,"")</f>
        <v>6.583333333333333</v>
      </c>
    </row>
    <row r="265" spans="1:16" x14ac:dyDescent="0.35">
      <c r="A265">
        <v>4445114986</v>
      </c>
      <c r="B265" s="1">
        <v>42472</v>
      </c>
      <c r="C265">
        <v>278</v>
      </c>
      <c r="D265">
        <v>0.18999999761581399</v>
      </c>
      <c r="E265">
        <v>0.18999999761581399</v>
      </c>
      <c r="F265">
        <v>0</v>
      </c>
      <c r="G265">
        <v>0</v>
      </c>
      <c r="H265">
        <v>0</v>
      </c>
      <c r="I265">
        <v>0.18999999761581399</v>
      </c>
      <c r="J265">
        <v>0</v>
      </c>
      <c r="K265">
        <v>0</v>
      </c>
      <c r="L265">
        <v>0</v>
      </c>
      <c r="M265">
        <v>20</v>
      </c>
      <c r="N265">
        <v>253</v>
      </c>
      <c r="O265">
        <v>745</v>
      </c>
      <c r="P265" s="3" cm="1">
        <f t="array" ref="P265">_xlfn.XLOOKUP(A265&amp;B265,'[1]Daily Sleep'!$A$2:$A$468&amp;'[1]Daily Sleep'!$B$2:$B$468,'[1]Daily Sleep'!$D$2:$D$468,"")</f>
        <v>5.1333333333333337</v>
      </c>
    </row>
    <row r="266" spans="1:16" x14ac:dyDescent="0.35">
      <c r="A266">
        <v>4558609924</v>
      </c>
      <c r="B266" s="1">
        <v>42461</v>
      </c>
      <c r="C266">
        <v>5336</v>
      </c>
      <c r="D266">
        <v>3.5299999713897701</v>
      </c>
      <c r="E266">
        <v>3.5299999713897701</v>
      </c>
      <c r="F266">
        <v>0</v>
      </c>
      <c r="G266">
        <v>0</v>
      </c>
      <c r="H266">
        <v>0</v>
      </c>
      <c r="I266">
        <v>3.5299999713897701</v>
      </c>
      <c r="J266">
        <v>0</v>
      </c>
      <c r="K266">
        <v>0</v>
      </c>
      <c r="L266">
        <v>0</v>
      </c>
      <c r="M266">
        <v>258</v>
      </c>
      <c r="N266">
        <v>1182</v>
      </c>
      <c r="O266">
        <v>1902</v>
      </c>
      <c r="P266" s="3" t="str" cm="1">
        <f t="array" ref="P266">_xlfn.XLOOKUP(A266&amp;B266,'[1]Daily Sleep'!$A$2:$A$468&amp;'[1]Daily Sleep'!$B$2:$B$468,'[1]Daily Sleep'!$D$2:$D$468,"")</f>
        <v/>
      </c>
    </row>
    <row r="267" spans="1:16" x14ac:dyDescent="0.35">
      <c r="A267">
        <v>4558609924</v>
      </c>
      <c r="B267" s="1">
        <v>42462</v>
      </c>
      <c r="C267">
        <v>3183</v>
      </c>
      <c r="D267">
        <v>2.0999999046325701</v>
      </c>
      <c r="E267">
        <v>2.0999999046325701</v>
      </c>
      <c r="F267">
        <v>0</v>
      </c>
      <c r="G267">
        <v>0</v>
      </c>
      <c r="H267">
        <v>0</v>
      </c>
      <c r="I267">
        <v>2.0999999046325701</v>
      </c>
      <c r="J267">
        <v>0</v>
      </c>
      <c r="K267">
        <v>0</v>
      </c>
      <c r="L267">
        <v>0</v>
      </c>
      <c r="M267">
        <v>173</v>
      </c>
      <c r="N267">
        <v>1180</v>
      </c>
      <c r="O267">
        <v>1680</v>
      </c>
      <c r="P267" s="3" cm="1">
        <f t="array" ref="P267">_xlfn.XLOOKUP(A267&amp;B267,'[1]Daily Sleep'!$A$2:$A$468&amp;'[1]Daily Sleep'!$B$2:$B$468,'[1]Daily Sleep'!$D$2:$D$468,"")</f>
        <v>1.4333333333333333</v>
      </c>
    </row>
    <row r="268" spans="1:16" x14ac:dyDescent="0.35">
      <c r="A268">
        <v>4558609924</v>
      </c>
      <c r="B268" s="1">
        <v>42463</v>
      </c>
      <c r="C268">
        <v>6176</v>
      </c>
      <c r="D268">
        <v>4.0799999237060502</v>
      </c>
      <c r="E268">
        <v>4.0799999237060502</v>
      </c>
      <c r="F268">
        <v>0</v>
      </c>
      <c r="G268">
        <v>7.0000000298023196E-2</v>
      </c>
      <c r="H268">
        <v>0.259999990463257</v>
      </c>
      <c r="I268">
        <v>3.75</v>
      </c>
      <c r="J268">
        <v>0</v>
      </c>
      <c r="K268">
        <v>1</v>
      </c>
      <c r="L268">
        <v>7</v>
      </c>
      <c r="M268">
        <v>269</v>
      </c>
      <c r="N268">
        <v>886</v>
      </c>
      <c r="O268">
        <v>1901</v>
      </c>
      <c r="P268" s="3" cm="1">
        <f t="array" ref="P268">_xlfn.XLOOKUP(A268&amp;B268,'[1]Daily Sleep'!$A$2:$A$468&amp;'[1]Daily Sleep'!$B$2:$B$468,'[1]Daily Sleep'!$D$2:$D$468,"")</f>
        <v>4.5666666666666664</v>
      </c>
    </row>
    <row r="269" spans="1:16" x14ac:dyDescent="0.35">
      <c r="A269">
        <v>4558609924</v>
      </c>
      <c r="B269" s="1">
        <v>42464</v>
      </c>
      <c r="C269">
        <v>8205</v>
      </c>
      <c r="D269">
        <v>5.4200000762939498</v>
      </c>
      <c r="E269">
        <v>5.4200000762939498</v>
      </c>
      <c r="F269">
        <v>0</v>
      </c>
      <c r="G269">
        <v>0</v>
      </c>
      <c r="H269">
        <v>0</v>
      </c>
      <c r="I269">
        <v>5.4200000762939498</v>
      </c>
      <c r="J269">
        <v>0</v>
      </c>
      <c r="K269">
        <v>0</v>
      </c>
      <c r="L269">
        <v>0</v>
      </c>
      <c r="M269">
        <v>367</v>
      </c>
      <c r="N269">
        <v>1073</v>
      </c>
      <c r="O269">
        <v>2078</v>
      </c>
      <c r="P269" s="3" t="str" cm="1">
        <f t="array" ref="P269">_xlfn.XLOOKUP(A269&amp;B269,'[1]Daily Sleep'!$A$2:$A$468&amp;'[1]Daily Sleep'!$B$2:$B$468,'[1]Daily Sleep'!$D$2:$D$468,"")</f>
        <v/>
      </c>
    </row>
    <row r="270" spans="1:16" x14ac:dyDescent="0.35">
      <c r="A270">
        <v>4558609924</v>
      </c>
      <c r="B270" s="1">
        <v>42465</v>
      </c>
      <c r="C270">
        <v>6799</v>
      </c>
      <c r="D270">
        <v>4.4899997711181596</v>
      </c>
      <c r="E270">
        <v>4.4899997711181596</v>
      </c>
      <c r="F270">
        <v>0</v>
      </c>
      <c r="G270">
        <v>1.5900000333786</v>
      </c>
      <c r="H270">
        <v>0.86000001430511497</v>
      </c>
      <c r="I270">
        <v>2.03999996185303</v>
      </c>
      <c r="J270">
        <v>0</v>
      </c>
      <c r="K270">
        <v>24</v>
      </c>
      <c r="L270">
        <v>14</v>
      </c>
      <c r="M270">
        <v>185</v>
      </c>
      <c r="N270">
        <v>1217</v>
      </c>
      <c r="O270">
        <v>1876</v>
      </c>
      <c r="P270" s="3" t="str" cm="1">
        <f t="array" ref="P270">_xlfn.XLOOKUP(A270&amp;B270,'[1]Daily Sleep'!$A$2:$A$468&amp;'[1]Daily Sleep'!$B$2:$B$468,'[1]Daily Sleep'!$D$2:$D$468,"")</f>
        <v/>
      </c>
    </row>
    <row r="271" spans="1:16" x14ac:dyDescent="0.35">
      <c r="A271">
        <v>4558609924</v>
      </c>
      <c r="B271" s="1">
        <v>42466</v>
      </c>
      <c r="C271">
        <v>5668</v>
      </c>
      <c r="D271">
        <v>3.75</v>
      </c>
      <c r="E271">
        <v>3.75</v>
      </c>
      <c r="F271">
        <v>0</v>
      </c>
      <c r="G271">
        <v>0</v>
      </c>
      <c r="H271">
        <v>0</v>
      </c>
      <c r="I271">
        <v>3.75</v>
      </c>
      <c r="J271">
        <v>0</v>
      </c>
      <c r="K271">
        <v>0</v>
      </c>
      <c r="L271">
        <v>0</v>
      </c>
      <c r="M271">
        <v>259</v>
      </c>
      <c r="N271">
        <v>1181</v>
      </c>
      <c r="O271">
        <v>1853</v>
      </c>
      <c r="P271" s="3" t="str" cm="1">
        <f t="array" ref="P271">_xlfn.XLOOKUP(A271&amp;B271,'[1]Daily Sleep'!$A$2:$A$468&amp;'[1]Daily Sleep'!$B$2:$B$468,'[1]Daily Sleep'!$D$2:$D$468,"")</f>
        <v/>
      </c>
    </row>
    <row r="272" spans="1:16" x14ac:dyDescent="0.35">
      <c r="A272">
        <v>4558609924</v>
      </c>
      <c r="B272" s="1">
        <v>42467</v>
      </c>
      <c r="C272">
        <v>7998</v>
      </c>
      <c r="D272">
        <v>5.28999996185303</v>
      </c>
      <c r="E272">
        <v>5.28999996185303</v>
      </c>
      <c r="F272">
        <v>0</v>
      </c>
      <c r="G272">
        <v>0.50999999046325695</v>
      </c>
      <c r="H272">
        <v>0.25</v>
      </c>
      <c r="I272">
        <v>4.5300002098083496</v>
      </c>
      <c r="J272">
        <v>0</v>
      </c>
      <c r="K272">
        <v>27</v>
      </c>
      <c r="L272">
        <v>12</v>
      </c>
      <c r="M272">
        <v>296</v>
      </c>
      <c r="N272">
        <v>1105</v>
      </c>
      <c r="O272">
        <v>2235</v>
      </c>
      <c r="P272" s="3" t="str" cm="1">
        <f t="array" ref="P272">_xlfn.XLOOKUP(A272&amp;B272,'[1]Daily Sleep'!$A$2:$A$468&amp;'[1]Daily Sleep'!$B$2:$B$468,'[1]Daily Sleep'!$D$2:$D$468,"")</f>
        <v/>
      </c>
    </row>
    <row r="273" spans="1:16" x14ac:dyDescent="0.35">
      <c r="A273">
        <v>4558609924</v>
      </c>
      <c r="B273" s="1">
        <v>42468</v>
      </c>
      <c r="C273">
        <v>4195</v>
      </c>
      <c r="D273">
        <v>2.7699999809265101</v>
      </c>
      <c r="E273">
        <v>2.7699999809265101</v>
      </c>
      <c r="F273">
        <v>0</v>
      </c>
      <c r="G273">
        <v>0</v>
      </c>
      <c r="H273">
        <v>0</v>
      </c>
      <c r="I273">
        <v>2.7699999809265101</v>
      </c>
      <c r="J273">
        <v>0</v>
      </c>
      <c r="K273">
        <v>0</v>
      </c>
      <c r="L273">
        <v>0</v>
      </c>
      <c r="M273">
        <v>241</v>
      </c>
      <c r="N273">
        <v>1199</v>
      </c>
      <c r="O273">
        <v>1778</v>
      </c>
      <c r="P273" s="3" t="str" cm="1">
        <f t="array" ref="P273">_xlfn.XLOOKUP(A273&amp;B273,'[1]Daily Sleep'!$A$2:$A$468&amp;'[1]Daily Sleep'!$B$2:$B$468,'[1]Daily Sleep'!$D$2:$D$468,"")</f>
        <v/>
      </c>
    </row>
    <row r="274" spans="1:16" x14ac:dyDescent="0.35">
      <c r="A274">
        <v>4558609924</v>
      </c>
      <c r="B274" s="1">
        <v>42469</v>
      </c>
      <c r="C274">
        <v>5512</v>
      </c>
      <c r="D274">
        <v>3.6400001049041699</v>
      </c>
      <c r="E274">
        <v>3.6400001049041699</v>
      </c>
      <c r="F274">
        <v>0</v>
      </c>
      <c r="G274">
        <v>0</v>
      </c>
      <c r="H274">
        <v>0</v>
      </c>
      <c r="I274">
        <v>3.6400001049041699</v>
      </c>
      <c r="J274">
        <v>0</v>
      </c>
      <c r="K274">
        <v>0</v>
      </c>
      <c r="L274">
        <v>0</v>
      </c>
      <c r="M274">
        <v>276</v>
      </c>
      <c r="N274">
        <v>1164</v>
      </c>
      <c r="O274">
        <v>1882</v>
      </c>
      <c r="P274" s="3" t="str" cm="1">
        <f t="array" ref="P274">_xlfn.XLOOKUP(A274&amp;B274,'[1]Daily Sleep'!$A$2:$A$468&amp;'[1]Daily Sleep'!$B$2:$B$468,'[1]Daily Sleep'!$D$2:$D$468,"")</f>
        <v/>
      </c>
    </row>
    <row r="275" spans="1:16" x14ac:dyDescent="0.35">
      <c r="A275">
        <v>4558609924</v>
      </c>
      <c r="B275" s="1">
        <v>42470</v>
      </c>
      <c r="C275">
        <v>6263</v>
      </c>
      <c r="D275">
        <v>4.1399998664856001</v>
      </c>
      <c r="E275">
        <v>4.1399998664856001</v>
      </c>
      <c r="F275">
        <v>0</v>
      </c>
      <c r="G275">
        <v>0</v>
      </c>
      <c r="H275">
        <v>0</v>
      </c>
      <c r="I275">
        <v>4.1300001144409197</v>
      </c>
      <c r="J275">
        <v>0</v>
      </c>
      <c r="K275">
        <v>0</v>
      </c>
      <c r="L275">
        <v>0</v>
      </c>
      <c r="M275">
        <v>290</v>
      </c>
      <c r="N275">
        <v>1150</v>
      </c>
      <c r="O275">
        <v>1906</v>
      </c>
      <c r="P275" s="3" t="str" cm="1">
        <f t="array" ref="P275">_xlfn.XLOOKUP(A275&amp;B275,'[1]Daily Sleep'!$A$2:$A$468&amp;'[1]Daily Sleep'!$B$2:$B$468,'[1]Daily Sleep'!$D$2:$D$468,"")</f>
        <v/>
      </c>
    </row>
    <row r="276" spans="1:16" x14ac:dyDescent="0.35">
      <c r="A276">
        <v>4558609924</v>
      </c>
      <c r="B276" s="1">
        <v>42471</v>
      </c>
      <c r="C276">
        <v>8828</v>
      </c>
      <c r="D276">
        <v>5.8400001525878897</v>
      </c>
      <c r="E276">
        <v>5.8400001525878897</v>
      </c>
      <c r="F276">
        <v>0</v>
      </c>
      <c r="G276">
        <v>0</v>
      </c>
      <c r="H276">
        <v>0</v>
      </c>
      <c r="I276">
        <v>5.8400001525878897</v>
      </c>
      <c r="J276">
        <v>0</v>
      </c>
      <c r="K276">
        <v>0</v>
      </c>
      <c r="L276">
        <v>0</v>
      </c>
      <c r="M276">
        <v>308</v>
      </c>
      <c r="N276">
        <v>1132</v>
      </c>
      <c r="O276">
        <v>2149</v>
      </c>
      <c r="P276" s="3" t="str" cm="1">
        <f t="array" ref="P276">_xlfn.XLOOKUP(A276&amp;B276,'[1]Daily Sleep'!$A$2:$A$468&amp;'[1]Daily Sleep'!$B$2:$B$468,'[1]Daily Sleep'!$D$2:$D$468,"")</f>
        <v/>
      </c>
    </row>
    <row r="277" spans="1:16" x14ac:dyDescent="0.35">
      <c r="A277">
        <v>4558609924</v>
      </c>
      <c r="B277" s="1">
        <v>42472</v>
      </c>
      <c r="C277">
        <v>1260</v>
      </c>
      <c r="D277">
        <v>0.82999998331069902</v>
      </c>
      <c r="E277">
        <v>0.82999998331069902</v>
      </c>
      <c r="F277">
        <v>0</v>
      </c>
      <c r="G277">
        <v>0</v>
      </c>
      <c r="H277">
        <v>0</v>
      </c>
      <c r="I277">
        <v>0.81999999284744296</v>
      </c>
      <c r="J277">
        <v>0</v>
      </c>
      <c r="K277">
        <v>0</v>
      </c>
      <c r="L277">
        <v>0</v>
      </c>
      <c r="M277">
        <v>76</v>
      </c>
      <c r="N277">
        <v>555</v>
      </c>
      <c r="O277">
        <v>722</v>
      </c>
      <c r="P277" s="3" t="str" cm="1">
        <f t="array" ref="P277">_xlfn.XLOOKUP(A277&amp;B277,'[1]Daily Sleep'!$A$2:$A$468&amp;'[1]Daily Sleep'!$B$2:$B$468,'[1]Daily Sleep'!$D$2:$D$468,"")</f>
        <v/>
      </c>
    </row>
    <row r="278" spans="1:16" x14ac:dyDescent="0.35">
      <c r="A278">
        <v>4702921684</v>
      </c>
      <c r="B278" s="1">
        <v>42458</v>
      </c>
      <c r="C278">
        <v>6506</v>
      </c>
      <c r="D278">
        <v>5.2800002098083496</v>
      </c>
      <c r="E278">
        <v>5.2800002098083496</v>
      </c>
      <c r="F278">
        <v>0</v>
      </c>
      <c r="G278">
        <v>0.33000001311302202</v>
      </c>
      <c r="H278">
        <v>0.270000010728836</v>
      </c>
      <c r="I278">
        <v>4.6700000762939498</v>
      </c>
      <c r="J278">
        <v>0</v>
      </c>
      <c r="K278">
        <v>4</v>
      </c>
      <c r="L278">
        <v>5</v>
      </c>
      <c r="M278">
        <v>241</v>
      </c>
      <c r="N278">
        <v>760</v>
      </c>
      <c r="O278">
        <v>2886</v>
      </c>
      <c r="P278" s="3" cm="1">
        <f t="array" ref="P278">_xlfn.XLOOKUP(A278&amp;B278,'[1]Daily Sleep'!$A$2:$A$468&amp;'[1]Daily Sleep'!$B$2:$B$468,'[1]Daily Sleep'!$D$2:$D$468,"")</f>
        <v>6.8833333333333337</v>
      </c>
    </row>
    <row r="279" spans="1:16" x14ac:dyDescent="0.35">
      <c r="A279">
        <v>4702921684</v>
      </c>
      <c r="B279" s="1">
        <v>42459</v>
      </c>
      <c r="C279">
        <v>7583</v>
      </c>
      <c r="D279">
        <v>6.1500000953674299</v>
      </c>
      <c r="E279">
        <v>6.1500000953674299</v>
      </c>
      <c r="F279">
        <v>0</v>
      </c>
      <c r="G279">
        <v>0.25</v>
      </c>
      <c r="H279">
        <v>0.55000001192092896</v>
      </c>
      <c r="I279">
        <v>5.3499999046325701</v>
      </c>
      <c r="J279">
        <v>0</v>
      </c>
      <c r="K279">
        <v>3</v>
      </c>
      <c r="L279">
        <v>13</v>
      </c>
      <c r="M279">
        <v>227</v>
      </c>
      <c r="N279">
        <v>742</v>
      </c>
      <c r="O279">
        <v>2915</v>
      </c>
      <c r="P279" s="3" cm="1">
        <f t="array" ref="P279">_xlfn.XLOOKUP(A279&amp;B279,'[1]Daily Sleep'!$A$2:$A$468&amp;'[1]Daily Sleep'!$B$2:$B$468,'[1]Daily Sleep'!$D$2:$D$468,"")</f>
        <v>7.0166666666666666</v>
      </c>
    </row>
    <row r="280" spans="1:16" x14ac:dyDescent="0.35">
      <c r="A280">
        <v>4702921684</v>
      </c>
      <c r="B280" s="1">
        <v>42460</v>
      </c>
      <c r="C280">
        <v>6963</v>
      </c>
      <c r="D280">
        <v>5.6500000953674299</v>
      </c>
      <c r="E280">
        <v>5.6500000953674299</v>
      </c>
      <c r="F280">
        <v>0</v>
      </c>
      <c r="G280">
        <v>0</v>
      </c>
      <c r="H280">
        <v>0</v>
      </c>
      <c r="I280">
        <v>5.6500000953674299</v>
      </c>
      <c r="J280">
        <v>0</v>
      </c>
      <c r="K280">
        <v>0</v>
      </c>
      <c r="L280">
        <v>0</v>
      </c>
      <c r="M280">
        <v>256</v>
      </c>
      <c r="N280">
        <v>759</v>
      </c>
      <c r="O280">
        <v>2895</v>
      </c>
      <c r="P280" s="3" cm="1">
        <f t="array" ref="P280">_xlfn.XLOOKUP(A280&amp;B280,'[1]Daily Sleep'!$A$2:$A$468&amp;'[1]Daily Sleep'!$B$2:$B$468,'[1]Daily Sleep'!$D$2:$D$468,"")</f>
        <v>7</v>
      </c>
    </row>
    <row r="281" spans="1:16" x14ac:dyDescent="0.35">
      <c r="A281">
        <v>4702921684</v>
      </c>
      <c r="B281" s="1">
        <v>42461</v>
      </c>
      <c r="C281">
        <v>7165</v>
      </c>
      <c r="D281">
        <v>5.8099999427795401</v>
      </c>
      <c r="E281">
        <v>5.8099999427795401</v>
      </c>
      <c r="F281">
        <v>0</v>
      </c>
      <c r="G281">
        <v>0</v>
      </c>
      <c r="H281">
        <v>0.37000000476837203</v>
      </c>
      <c r="I281">
        <v>5.4400000572204599</v>
      </c>
      <c r="J281">
        <v>0</v>
      </c>
      <c r="K281">
        <v>0</v>
      </c>
      <c r="L281">
        <v>9</v>
      </c>
      <c r="M281">
        <v>248</v>
      </c>
      <c r="N281">
        <v>708</v>
      </c>
      <c r="O281">
        <v>2923</v>
      </c>
      <c r="P281" s="3" cm="1">
        <f t="array" ref="P281">_xlfn.XLOOKUP(A281&amp;B281,'[1]Daily Sleep'!$A$2:$A$468&amp;'[1]Daily Sleep'!$B$2:$B$468,'[1]Daily Sleep'!$D$2:$D$468,"")</f>
        <v>7.5666666666666664</v>
      </c>
    </row>
    <row r="282" spans="1:16" x14ac:dyDescent="0.35">
      <c r="A282">
        <v>4702921684</v>
      </c>
      <c r="B282" s="1">
        <v>42462</v>
      </c>
      <c r="C282">
        <v>10328</v>
      </c>
      <c r="D282">
        <v>8.3800001144409197</v>
      </c>
      <c r="E282">
        <v>8.3800001144409197</v>
      </c>
      <c r="F282">
        <v>0</v>
      </c>
      <c r="G282">
        <v>0</v>
      </c>
      <c r="H282">
        <v>1.46000003814697</v>
      </c>
      <c r="I282">
        <v>6.9200000762939498</v>
      </c>
      <c r="J282">
        <v>0</v>
      </c>
      <c r="K282">
        <v>0</v>
      </c>
      <c r="L282">
        <v>32</v>
      </c>
      <c r="M282">
        <v>367</v>
      </c>
      <c r="N282">
        <v>475</v>
      </c>
      <c r="O282">
        <v>3323</v>
      </c>
      <c r="P282" s="3" cm="1">
        <f t="array" ref="P282">_xlfn.XLOOKUP(A282&amp;B282,'[1]Daily Sleep'!$A$2:$A$468&amp;'[1]Daily Sleep'!$B$2:$B$468,'[1]Daily Sleep'!$D$2:$D$468,"")</f>
        <v>8.9666666666666668</v>
      </c>
    </row>
    <row r="283" spans="1:16" x14ac:dyDescent="0.35">
      <c r="A283">
        <v>4702921684</v>
      </c>
      <c r="B283" s="1">
        <v>42463</v>
      </c>
      <c r="C283">
        <v>12116</v>
      </c>
      <c r="D283">
        <v>9.8299999237060494</v>
      </c>
      <c r="E283">
        <v>9.8299999237060494</v>
      </c>
      <c r="F283">
        <v>0</v>
      </c>
      <c r="G283">
        <v>0.25</v>
      </c>
      <c r="H283">
        <v>2.8499999046325701</v>
      </c>
      <c r="I283">
        <v>6.7199997901916504</v>
      </c>
      <c r="J283">
        <v>0</v>
      </c>
      <c r="K283">
        <v>3</v>
      </c>
      <c r="L283">
        <v>57</v>
      </c>
      <c r="M283">
        <v>323</v>
      </c>
      <c r="N283">
        <v>471</v>
      </c>
      <c r="O283">
        <v>3357</v>
      </c>
      <c r="P283" s="3" cm="1">
        <f t="array" ref="P283">_xlfn.XLOOKUP(A283&amp;B283,'[1]Daily Sleep'!$A$2:$A$468&amp;'[1]Daily Sleep'!$B$2:$B$468,'[1]Daily Sleep'!$D$2:$D$468,"")</f>
        <v>9.3000000000000007</v>
      </c>
    </row>
    <row r="284" spans="1:16" x14ac:dyDescent="0.35">
      <c r="A284">
        <v>4702921684</v>
      </c>
      <c r="B284" s="1">
        <v>42464</v>
      </c>
      <c r="C284">
        <v>7810</v>
      </c>
      <c r="D284">
        <v>6.3600001335143999</v>
      </c>
      <c r="E284">
        <v>6.3600001335143999</v>
      </c>
      <c r="F284">
        <v>0</v>
      </c>
      <c r="G284">
        <v>0.479999989271164</v>
      </c>
      <c r="H284">
        <v>1.20000004768372</v>
      </c>
      <c r="I284">
        <v>4.6799998283386204</v>
      </c>
      <c r="J284">
        <v>0</v>
      </c>
      <c r="K284">
        <v>6</v>
      </c>
      <c r="L284">
        <v>27</v>
      </c>
      <c r="M284">
        <v>216</v>
      </c>
      <c r="N284">
        <v>746</v>
      </c>
      <c r="O284">
        <v>2931</v>
      </c>
      <c r="P284" s="3" cm="1">
        <f t="array" ref="P284">_xlfn.XLOOKUP(A284&amp;B284,'[1]Daily Sleep'!$A$2:$A$468&amp;'[1]Daily Sleep'!$B$2:$B$468,'[1]Daily Sleep'!$D$2:$D$468,"")</f>
        <v>6.9833333333333334</v>
      </c>
    </row>
    <row r="285" spans="1:16" x14ac:dyDescent="0.35">
      <c r="A285">
        <v>4702921684</v>
      </c>
      <c r="B285" s="1">
        <v>42465</v>
      </c>
      <c r="C285">
        <v>6670</v>
      </c>
      <c r="D285">
        <v>5.4099998474121103</v>
      </c>
      <c r="E285">
        <v>5.4099998474121103</v>
      </c>
      <c r="F285">
        <v>0</v>
      </c>
      <c r="G285">
        <v>1.2400000095367401</v>
      </c>
      <c r="H285">
        <v>0.80000001192092896</v>
      </c>
      <c r="I285">
        <v>3.3699998855590798</v>
      </c>
      <c r="J285">
        <v>0</v>
      </c>
      <c r="K285">
        <v>15</v>
      </c>
      <c r="L285">
        <v>16</v>
      </c>
      <c r="M285">
        <v>199</v>
      </c>
      <c r="N285">
        <v>770</v>
      </c>
      <c r="O285">
        <v>2848</v>
      </c>
      <c r="P285" s="3" cm="1">
        <f t="array" ref="P285">_xlfn.XLOOKUP(A285&amp;B285,'[1]Daily Sleep'!$A$2:$A$468&amp;'[1]Daily Sleep'!$B$2:$B$468,'[1]Daily Sleep'!$D$2:$D$468,"")</f>
        <v>6.7333333333333334</v>
      </c>
    </row>
    <row r="286" spans="1:16" x14ac:dyDescent="0.35">
      <c r="A286">
        <v>4702921684</v>
      </c>
      <c r="B286" s="1">
        <v>42466</v>
      </c>
      <c r="C286">
        <v>7605</v>
      </c>
      <c r="D286">
        <v>6.1799998283386204</v>
      </c>
      <c r="E286">
        <v>6.1799998283386204</v>
      </c>
      <c r="F286">
        <v>0</v>
      </c>
      <c r="G286">
        <v>0.33000001311302202</v>
      </c>
      <c r="H286">
        <v>0.20999999344348899</v>
      </c>
      <c r="I286">
        <v>5.6300001144409197</v>
      </c>
      <c r="J286">
        <v>0</v>
      </c>
      <c r="K286">
        <v>4</v>
      </c>
      <c r="L286">
        <v>4</v>
      </c>
      <c r="M286">
        <v>248</v>
      </c>
      <c r="N286">
        <v>708</v>
      </c>
      <c r="O286">
        <v>2943</v>
      </c>
      <c r="P286" s="3" cm="1">
        <f t="array" ref="P286">_xlfn.XLOOKUP(A286&amp;B286,'[1]Daily Sleep'!$A$2:$A$468&amp;'[1]Daily Sleep'!$B$2:$B$468,'[1]Daily Sleep'!$D$2:$D$468,"")</f>
        <v>7.5666666666666664</v>
      </c>
    </row>
    <row r="287" spans="1:16" x14ac:dyDescent="0.35">
      <c r="A287">
        <v>4702921684</v>
      </c>
      <c r="B287" s="1">
        <v>42467</v>
      </c>
      <c r="C287">
        <v>6585</v>
      </c>
      <c r="D287">
        <v>5.3400001525878897</v>
      </c>
      <c r="E287">
        <v>5.3400001525878897</v>
      </c>
      <c r="F287">
        <v>0</v>
      </c>
      <c r="G287">
        <v>0</v>
      </c>
      <c r="H287">
        <v>0</v>
      </c>
      <c r="I287">
        <v>5.3400001525878897</v>
      </c>
      <c r="J287">
        <v>0</v>
      </c>
      <c r="K287">
        <v>0</v>
      </c>
      <c r="L287">
        <v>0</v>
      </c>
      <c r="M287">
        <v>210</v>
      </c>
      <c r="N287">
        <v>770</v>
      </c>
      <c r="O287">
        <v>2822</v>
      </c>
      <c r="P287" s="3" cm="1">
        <f t="array" ref="P287">_xlfn.XLOOKUP(A287&amp;B287,'[1]Daily Sleep'!$A$2:$A$468&amp;'[1]Daily Sleep'!$B$2:$B$468,'[1]Daily Sleep'!$D$2:$D$468,"")</f>
        <v>7.4666666666666668</v>
      </c>
    </row>
    <row r="288" spans="1:16" x14ac:dyDescent="0.35">
      <c r="A288">
        <v>4702921684</v>
      </c>
      <c r="B288" s="1">
        <v>42468</v>
      </c>
      <c r="C288">
        <v>8184</v>
      </c>
      <c r="D288">
        <v>6.6399998664856001</v>
      </c>
      <c r="E288">
        <v>6.6399998664856001</v>
      </c>
      <c r="F288">
        <v>0</v>
      </c>
      <c r="G288">
        <v>0</v>
      </c>
      <c r="H288">
        <v>0.62000000476837203</v>
      </c>
      <c r="I288">
        <v>5.9499998092651403</v>
      </c>
      <c r="J288">
        <v>0</v>
      </c>
      <c r="K288">
        <v>0</v>
      </c>
      <c r="L288">
        <v>15</v>
      </c>
      <c r="M288">
        <v>247</v>
      </c>
      <c r="N288">
        <v>808</v>
      </c>
      <c r="O288">
        <v>2981</v>
      </c>
      <c r="P288" s="3" cm="1">
        <f t="array" ref="P288">_xlfn.XLOOKUP(A288&amp;B288,'[1]Daily Sleep'!$A$2:$A$468&amp;'[1]Daily Sleep'!$B$2:$B$468,'[1]Daily Sleep'!$D$2:$D$468,"")</f>
        <v>5.75</v>
      </c>
    </row>
    <row r="289" spans="1:16" x14ac:dyDescent="0.35">
      <c r="A289">
        <v>4702921684</v>
      </c>
      <c r="B289" s="1">
        <v>42469</v>
      </c>
      <c r="C289">
        <v>14002</v>
      </c>
      <c r="D289">
        <v>11.3599996566772</v>
      </c>
      <c r="E289">
        <v>11.3599996566772</v>
      </c>
      <c r="F289">
        <v>0</v>
      </c>
      <c r="G289">
        <v>0.61000001430511497</v>
      </c>
      <c r="H289">
        <v>2.6800000667571999</v>
      </c>
      <c r="I289">
        <v>8.0600004196166992</v>
      </c>
      <c r="J289">
        <v>0</v>
      </c>
      <c r="K289">
        <v>8</v>
      </c>
      <c r="L289">
        <v>56</v>
      </c>
      <c r="M289">
        <v>381</v>
      </c>
      <c r="N289">
        <v>407</v>
      </c>
      <c r="O289">
        <v>3597</v>
      </c>
      <c r="P289" s="3" cm="1">
        <f t="array" ref="P289">_xlfn.XLOOKUP(A289&amp;B289,'[1]Daily Sleep'!$A$2:$A$468&amp;'[1]Daily Sleep'!$B$2:$B$468,'[1]Daily Sleep'!$D$2:$D$468,"")</f>
        <v>7.083333333333333</v>
      </c>
    </row>
    <row r="290" spans="1:16" x14ac:dyDescent="0.35">
      <c r="A290">
        <v>4702921684</v>
      </c>
      <c r="B290" s="1">
        <v>42470</v>
      </c>
      <c r="C290">
        <v>11135</v>
      </c>
      <c r="D290">
        <v>9.0299997329711896</v>
      </c>
      <c r="E290">
        <v>9.0299997329711896</v>
      </c>
      <c r="F290">
        <v>0</v>
      </c>
      <c r="G290">
        <v>7.9999998211860698E-2</v>
      </c>
      <c r="H290">
        <v>1.1599999666214</v>
      </c>
      <c r="I290">
        <v>7.78999996185303</v>
      </c>
      <c r="J290">
        <v>0</v>
      </c>
      <c r="K290">
        <v>1</v>
      </c>
      <c r="L290">
        <v>25</v>
      </c>
      <c r="M290">
        <v>331</v>
      </c>
      <c r="N290">
        <v>528</v>
      </c>
      <c r="O290">
        <v>3224</v>
      </c>
      <c r="P290" s="3" cm="1">
        <f t="array" ref="P290">_xlfn.XLOOKUP(A290&amp;B290,'[1]Daily Sleep'!$A$2:$A$468&amp;'[1]Daily Sleep'!$B$2:$B$468,'[1]Daily Sleep'!$D$2:$D$468,"")</f>
        <v>8.8833333333333329</v>
      </c>
    </row>
    <row r="291" spans="1:16" x14ac:dyDescent="0.35">
      <c r="A291">
        <v>4702921684</v>
      </c>
      <c r="B291" s="1">
        <v>42471</v>
      </c>
      <c r="C291">
        <v>6499</v>
      </c>
      <c r="D291">
        <v>5.2699999809265101</v>
      </c>
      <c r="E291">
        <v>5.2699999809265101</v>
      </c>
      <c r="F291">
        <v>0</v>
      </c>
      <c r="G291">
        <v>0</v>
      </c>
      <c r="H291">
        <v>0</v>
      </c>
      <c r="I291">
        <v>5.2699999809265101</v>
      </c>
      <c r="J291">
        <v>0</v>
      </c>
      <c r="K291">
        <v>0</v>
      </c>
      <c r="L291">
        <v>0</v>
      </c>
      <c r="M291">
        <v>207</v>
      </c>
      <c r="N291">
        <v>809</v>
      </c>
      <c r="O291">
        <v>2677</v>
      </c>
      <c r="P291" s="3" cm="1">
        <f t="array" ref="P291">_xlfn.XLOOKUP(A291&amp;B291,'[1]Daily Sleep'!$A$2:$A$468&amp;'[1]Daily Sleep'!$B$2:$B$468,'[1]Daily Sleep'!$D$2:$D$468,"")</f>
        <v>5.4833333333333334</v>
      </c>
    </row>
    <row r="292" spans="1:16" x14ac:dyDescent="0.35">
      <c r="A292">
        <v>4702921684</v>
      </c>
      <c r="B292" s="1">
        <v>42472</v>
      </c>
      <c r="C292">
        <v>0</v>
      </c>
      <c r="D292">
        <v>0</v>
      </c>
      <c r="E292">
        <v>0</v>
      </c>
      <c r="F292">
        <v>0</v>
      </c>
      <c r="G292">
        <v>0</v>
      </c>
      <c r="H292">
        <v>0</v>
      </c>
      <c r="I292">
        <v>0</v>
      </c>
      <c r="J292">
        <v>0</v>
      </c>
      <c r="K292">
        <v>0</v>
      </c>
      <c r="L292">
        <v>0</v>
      </c>
      <c r="M292">
        <v>0</v>
      </c>
      <c r="N292">
        <v>1440</v>
      </c>
      <c r="O292">
        <v>0</v>
      </c>
      <c r="P292" s="3" t="str" cm="1">
        <f t="array" ref="P292">_xlfn.XLOOKUP(A292&amp;B292,'[1]Daily Sleep'!$A$2:$A$468&amp;'[1]Daily Sleep'!$B$2:$B$468,'[1]Daily Sleep'!$D$2:$D$468,"")</f>
        <v/>
      </c>
    </row>
    <row r="293" spans="1:16" x14ac:dyDescent="0.35">
      <c r="A293">
        <v>5553957443</v>
      </c>
      <c r="B293" s="1">
        <v>42461</v>
      </c>
      <c r="C293">
        <v>12409</v>
      </c>
      <c r="D293">
        <v>8.1000003814697301</v>
      </c>
      <c r="E293">
        <v>8.1000003814697301</v>
      </c>
      <c r="F293">
        <v>0</v>
      </c>
      <c r="G293">
        <v>2.9000000953674299</v>
      </c>
      <c r="H293">
        <v>0.62999999523162797</v>
      </c>
      <c r="I293">
        <v>4.5799999237060502</v>
      </c>
      <c r="J293">
        <v>0</v>
      </c>
      <c r="K293">
        <v>51</v>
      </c>
      <c r="L293">
        <v>12</v>
      </c>
      <c r="M293">
        <v>235</v>
      </c>
      <c r="N293">
        <v>782</v>
      </c>
      <c r="O293">
        <v>2142</v>
      </c>
      <c r="P293" s="3" cm="1">
        <f t="array" ref="P293">_xlfn.XLOOKUP(A293&amp;B293,'[1]Daily Sleep'!$A$2:$A$468&amp;'[1]Daily Sleep'!$B$2:$B$468,'[1]Daily Sleep'!$D$2:$D$468,"")</f>
        <v>5.6166666666666663</v>
      </c>
    </row>
    <row r="294" spans="1:16" x14ac:dyDescent="0.35">
      <c r="A294">
        <v>5553957443</v>
      </c>
      <c r="B294" s="1">
        <v>42462</v>
      </c>
      <c r="C294">
        <v>2937</v>
      </c>
      <c r="D294">
        <v>1.91999995708466</v>
      </c>
      <c r="E294">
        <v>1.91999995708466</v>
      </c>
      <c r="F294">
        <v>0</v>
      </c>
      <c r="G294">
        <v>0</v>
      </c>
      <c r="H294">
        <v>0</v>
      </c>
      <c r="I294">
        <v>1.9099999666214</v>
      </c>
      <c r="J294">
        <v>0</v>
      </c>
      <c r="K294">
        <v>0</v>
      </c>
      <c r="L294">
        <v>0</v>
      </c>
      <c r="M294">
        <v>181</v>
      </c>
      <c r="N294">
        <v>356</v>
      </c>
      <c r="O294">
        <v>1615</v>
      </c>
      <c r="P294" s="3" cm="1">
        <f t="array" ref="P294">_xlfn.XLOOKUP(A294&amp;B294,'[1]Daily Sleep'!$A$2:$A$468&amp;'[1]Daily Sleep'!$B$2:$B$468,'[1]Daily Sleep'!$D$2:$D$468,"")</f>
        <v>13.183333333333334</v>
      </c>
    </row>
    <row r="295" spans="1:16" x14ac:dyDescent="0.35">
      <c r="A295">
        <v>5553957443</v>
      </c>
      <c r="B295" s="1">
        <v>42463</v>
      </c>
      <c r="C295">
        <v>1515</v>
      </c>
      <c r="D295">
        <v>0.99000000953674305</v>
      </c>
      <c r="E295">
        <v>0.99000000953674305</v>
      </c>
      <c r="F295">
        <v>0</v>
      </c>
      <c r="G295">
        <v>0</v>
      </c>
      <c r="H295">
        <v>0</v>
      </c>
      <c r="I295">
        <v>0.99000000953674305</v>
      </c>
      <c r="J295">
        <v>0</v>
      </c>
      <c r="K295">
        <v>0</v>
      </c>
      <c r="L295">
        <v>0</v>
      </c>
      <c r="M295">
        <v>93</v>
      </c>
      <c r="N295">
        <v>507</v>
      </c>
      <c r="O295">
        <v>1481</v>
      </c>
      <c r="P295" s="3" cm="1">
        <f t="array" ref="P295">_xlfn.XLOOKUP(A295&amp;B295,'[1]Daily Sleep'!$A$2:$A$468&amp;'[1]Daily Sleep'!$B$2:$B$468,'[1]Daily Sleep'!$D$2:$D$468,"")</f>
        <v>12.366666666666667</v>
      </c>
    </row>
    <row r="296" spans="1:16" x14ac:dyDescent="0.35">
      <c r="A296">
        <v>5553957443</v>
      </c>
      <c r="B296" s="1">
        <v>42464</v>
      </c>
      <c r="C296">
        <v>8921</v>
      </c>
      <c r="D296">
        <v>5.8800001144409197</v>
      </c>
      <c r="E296">
        <v>5.8800001144409197</v>
      </c>
      <c r="F296">
        <v>0</v>
      </c>
      <c r="G296">
        <v>2.0699999332428001</v>
      </c>
      <c r="H296">
        <v>0.43999999761581399</v>
      </c>
      <c r="I296">
        <v>3.3599998950958301</v>
      </c>
      <c r="J296">
        <v>0</v>
      </c>
      <c r="K296">
        <v>27</v>
      </c>
      <c r="L296">
        <v>8</v>
      </c>
      <c r="M296">
        <v>198</v>
      </c>
      <c r="N296">
        <v>754</v>
      </c>
      <c r="O296">
        <v>1892</v>
      </c>
      <c r="P296" s="3" cm="1">
        <f t="array" ref="P296">_xlfn.XLOOKUP(A296&amp;B296,'[1]Daily Sleep'!$A$2:$A$468&amp;'[1]Daily Sleep'!$B$2:$B$468,'[1]Daily Sleep'!$D$2:$D$468,"")</f>
        <v>6.8833333333333337</v>
      </c>
    </row>
    <row r="297" spans="1:16" x14ac:dyDescent="0.35">
      <c r="A297">
        <v>5553957443</v>
      </c>
      <c r="B297" s="1">
        <v>42465</v>
      </c>
      <c r="C297">
        <v>11306</v>
      </c>
      <c r="D297">
        <v>7.3800001144409197</v>
      </c>
      <c r="E297">
        <v>7.3800001144409197</v>
      </c>
      <c r="F297">
        <v>0</v>
      </c>
      <c r="G297">
        <v>2.3099999427795401</v>
      </c>
      <c r="H297">
        <v>0.980000019073486</v>
      </c>
      <c r="I297">
        <v>4.0900001525878897</v>
      </c>
      <c r="J297">
        <v>0</v>
      </c>
      <c r="K297">
        <v>40</v>
      </c>
      <c r="L297">
        <v>26</v>
      </c>
      <c r="M297">
        <v>218</v>
      </c>
      <c r="N297">
        <v>772</v>
      </c>
      <c r="O297">
        <v>2086</v>
      </c>
      <c r="P297" s="3" cm="1">
        <f t="array" ref="P297">_xlfn.XLOOKUP(A297&amp;B297,'[1]Daily Sleep'!$A$2:$A$468&amp;'[1]Daily Sleep'!$B$2:$B$468,'[1]Daily Sleep'!$D$2:$D$468,"")</f>
        <v>5.666666666666667</v>
      </c>
    </row>
    <row r="298" spans="1:16" x14ac:dyDescent="0.35">
      <c r="A298">
        <v>5553957443</v>
      </c>
      <c r="B298" s="1">
        <v>42466</v>
      </c>
      <c r="C298">
        <v>12252</v>
      </c>
      <c r="D298">
        <v>8</v>
      </c>
      <c r="E298">
        <v>8</v>
      </c>
      <c r="F298">
        <v>0</v>
      </c>
      <c r="G298">
        <v>2.4100000858306898</v>
      </c>
      <c r="H298">
        <v>1.70000004768372</v>
      </c>
      <c r="I298">
        <v>3.8900001049041699</v>
      </c>
      <c r="J298">
        <v>0</v>
      </c>
      <c r="K298">
        <v>33</v>
      </c>
      <c r="L298">
        <v>28</v>
      </c>
      <c r="M298">
        <v>229</v>
      </c>
      <c r="N298">
        <v>745</v>
      </c>
      <c r="O298">
        <v>2044</v>
      </c>
      <c r="P298" s="3" cm="1">
        <f t="array" ref="P298">_xlfn.XLOOKUP(A298&amp;B298,'[1]Daily Sleep'!$A$2:$A$468&amp;'[1]Daily Sleep'!$B$2:$B$468,'[1]Daily Sleep'!$D$2:$D$468,"")</f>
        <v>6.416666666666667</v>
      </c>
    </row>
    <row r="299" spans="1:16" x14ac:dyDescent="0.35">
      <c r="A299">
        <v>5553957443</v>
      </c>
      <c r="B299" s="1">
        <v>42467</v>
      </c>
      <c r="C299">
        <v>15444</v>
      </c>
      <c r="D299">
        <v>10.079999923706101</v>
      </c>
      <c r="E299">
        <v>10.079999923706101</v>
      </c>
      <c r="F299">
        <v>0</v>
      </c>
      <c r="G299">
        <v>3.2699999809265101</v>
      </c>
      <c r="H299">
        <v>1.7300000190734901</v>
      </c>
      <c r="I299">
        <v>5.0799999237060502</v>
      </c>
      <c r="J299">
        <v>0</v>
      </c>
      <c r="K299">
        <v>51</v>
      </c>
      <c r="L299">
        <v>39</v>
      </c>
      <c r="M299">
        <v>243</v>
      </c>
      <c r="N299">
        <v>731</v>
      </c>
      <c r="O299">
        <v>2249</v>
      </c>
      <c r="P299" s="3" cm="1">
        <f t="array" ref="P299">_xlfn.XLOOKUP(A299&amp;B299,'[1]Daily Sleep'!$A$2:$A$468&amp;'[1]Daily Sleep'!$B$2:$B$468,'[1]Daily Sleep'!$D$2:$D$468,"")</f>
        <v>5.6333333333333337</v>
      </c>
    </row>
    <row r="300" spans="1:16" x14ac:dyDescent="0.35">
      <c r="A300">
        <v>5553957443</v>
      </c>
      <c r="B300" s="1">
        <v>42468</v>
      </c>
      <c r="C300">
        <v>9938</v>
      </c>
      <c r="D300">
        <v>6.4899997711181596</v>
      </c>
      <c r="E300">
        <v>6.4899997711181596</v>
      </c>
      <c r="F300">
        <v>0</v>
      </c>
      <c r="G300">
        <v>2.1400001049041699</v>
      </c>
      <c r="H300">
        <v>1.2799999713897701</v>
      </c>
      <c r="I300">
        <v>3.0799999237060498</v>
      </c>
      <c r="J300">
        <v>0</v>
      </c>
      <c r="K300">
        <v>38</v>
      </c>
      <c r="L300">
        <v>24</v>
      </c>
      <c r="M300">
        <v>193</v>
      </c>
      <c r="N300">
        <v>767</v>
      </c>
      <c r="O300">
        <v>2019</v>
      </c>
      <c r="P300" s="3" cm="1">
        <f t="array" ref="P300">_xlfn.XLOOKUP(A300&amp;B300,'[1]Daily Sleep'!$A$2:$A$468&amp;'[1]Daily Sleep'!$B$2:$B$468,'[1]Daily Sleep'!$D$2:$D$468,"")</f>
        <v>6.3166666666666664</v>
      </c>
    </row>
    <row r="301" spans="1:16" x14ac:dyDescent="0.35">
      <c r="A301">
        <v>5553957443</v>
      </c>
      <c r="B301" s="1">
        <v>42469</v>
      </c>
      <c r="C301">
        <v>4599</v>
      </c>
      <c r="D301">
        <v>3</v>
      </c>
      <c r="E301">
        <v>3</v>
      </c>
      <c r="F301">
        <v>0</v>
      </c>
      <c r="G301">
        <v>0</v>
      </c>
      <c r="H301">
        <v>0</v>
      </c>
      <c r="I301">
        <v>3</v>
      </c>
      <c r="J301">
        <v>0</v>
      </c>
      <c r="K301">
        <v>0</v>
      </c>
      <c r="L301">
        <v>0</v>
      </c>
      <c r="M301">
        <v>176</v>
      </c>
      <c r="N301">
        <v>578</v>
      </c>
      <c r="O301">
        <v>1692</v>
      </c>
      <c r="P301" s="3" cm="1">
        <f t="array" ref="P301">_xlfn.XLOOKUP(A301&amp;B301,'[1]Daily Sleep'!$A$2:$A$468&amp;'[1]Daily Sleep'!$B$2:$B$468,'[1]Daily Sleep'!$D$2:$D$468,"")</f>
        <v>10.316666666666666</v>
      </c>
    </row>
    <row r="302" spans="1:16" x14ac:dyDescent="0.35">
      <c r="A302">
        <v>5553957443</v>
      </c>
      <c r="B302" s="1">
        <v>42470</v>
      </c>
      <c r="C302">
        <v>5594</v>
      </c>
      <c r="D302">
        <v>3.6500000953674299</v>
      </c>
      <c r="E302">
        <v>3.6500000953674299</v>
      </c>
      <c r="F302">
        <v>0</v>
      </c>
      <c r="G302">
        <v>0.28000000119209301</v>
      </c>
      <c r="H302">
        <v>1.4800000190734901</v>
      </c>
      <c r="I302">
        <v>1.8899999856948899</v>
      </c>
      <c r="J302">
        <v>0</v>
      </c>
      <c r="K302">
        <v>4</v>
      </c>
      <c r="L302">
        <v>25</v>
      </c>
      <c r="M302">
        <v>150</v>
      </c>
      <c r="N302">
        <v>552</v>
      </c>
      <c r="O302">
        <v>1712</v>
      </c>
      <c r="P302" s="3" cm="1">
        <f t="array" ref="P302">_xlfn.XLOOKUP(A302&amp;B302,'[1]Daily Sleep'!$A$2:$A$468&amp;'[1]Daily Sleep'!$B$2:$B$468,'[1]Daily Sleep'!$D$2:$D$468,"")</f>
        <v>10.483333333333333</v>
      </c>
    </row>
    <row r="303" spans="1:16" x14ac:dyDescent="0.35">
      <c r="A303">
        <v>5553957443</v>
      </c>
      <c r="B303" s="1">
        <v>42471</v>
      </c>
      <c r="C303">
        <v>11906</v>
      </c>
      <c r="D303">
        <v>7.7699999809265101</v>
      </c>
      <c r="E303">
        <v>7.7699999809265101</v>
      </c>
      <c r="F303">
        <v>0</v>
      </c>
      <c r="G303">
        <v>2.2599999904632599</v>
      </c>
      <c r="H303">
        <v>1.5199999809265099</v>
      </c>
      <c r="I303">
        <v>3.9900000095367401</v>
      </c>
      <c r="J303">
        <v>0</v>
      </c>
      <c r="K303">
        <v>32</v>
      </c>
      <c r="L303">
        <v>27</v>
      </c>
      <c r="M303">
        <v>234</v>
      </c>
      <c r="N303">
        <v>688</v>
      </c>
      <c r="O303">
        <v>2065</v>
      </c>
      <c r="P303" s="3" cm="1">
        <f t="array" ref="P303">_xlfn.XLOOKUP(A303&amp;B303,'[1]Daily Sleep'!$A$2:$A$468&amp;'[1]Daily Sleep'!$B$2:$B$468,'[1]Daily Sleep'!$D$2:$D$468,"")</f>
        <v>7.1333333333333337</v>
      </c>
    </row>
    <row r="304" spans="1:16" x14ac:dyDescent="0.35">
      <c r="A304">
        <v>5553957443</v>
      </c>
      <c r="B304" s="1">
        <v>42472</v>
      </c>
      <c r="C304">
        <v>3436</v>
      </c>
      <c r="D304">
        <v>2.2400000095367401</v>
      </c>
      <c r="E304">
        <v>2.2400000095367401</v>
      </c>
      <c r="F304">
        <v>0</v>
      </c>
      <c r="G304">
        <v>0.5</v>
      </c>
      <c r="H304">
        <v>0.67000001668930098</v>
      </c>
      <c r="I304">
        <v>1.04999995231628</v>
      </c>
      <c r="J304">
        <v>0</v>
      </c>
      <c r="K304">
        <v>7</v>
      </c>
      <c r="L304">
        <v>11</v>
      </c>
      <c r="M304">
        <v>50</v>
      </c>
      <c r="N304">
        <v>61</v>
      </c>
      <c r="O304">
        <v>633</v>
      </c>
      <c r="P304" s="3" cm="1">
        <f t="array" ref="P304">_xlfn.XLOOKUP(A304&amp;B304,'[1]Daily Sleep'!$A$2:$A$468&amp;'[1]Daily Sleep'!$B$2:$B$468,'[1]Daily Sleep'!$D$2:$D$468,"")</f>
        <v>5.7666666666666666</v>
      </c>
    </row>
    <row r="305" spans="1:16" x14ac:dyDescent="0.35">
      <c r="A305">
        <v>5577150313</v>
      </c>
      <c r="B305" s="1">
        <v>42461</v>
      </c>
      <c r="C305">
        <v>10461</v>
      </c>
      <c r="D305">
        <v>7.8699998855590803</v>
      </c>
      <c r="E305">
        <v>7.8699998855590803</v>
      </c>
      <c r="F305">
        <v>0</v>
      </c>
      <c r="G305">
        <v>4.7600002288818404</v>
      </c>
      <c r="H305">
        <v>0.85000002384185802</v>
      </c>
      <c r="I305">
        <v>2.25</v>
      </c>
      <c r="J305">
        <v>0</v>
      </c>
      <c r="K305">
        <v>99</v>
      </c>
      <c r="L305">
        <v>31</v>
      </c>
      <c r="M305">
        <v>142</v>
      </c>
      <c r="N305">
        <v>721</v>
      </c>
      <c r="O305">
        <v>3625</v>
      </c>
      <c r="P305" s="3" cm="1">
        <f t="array" ref="P305">_xlfn.XLOOKUP(A305&amp;B305,'[1]Daily Sleep'!$A$2:$A$468&amp;'[1]Daily Sleep'!$B$2:$B$468,'[1]Daily Sleep'!$D$2:$D$468,"")</f>
        <v>7.25</v>
      </c>
    </row>
    <row r="306" spans="1:16" x14ac:dyDescent="0.35">
      <c r="A306">
        <v>5577150313</v>
      </c>
      <c r="B306" s="1">
        <v>42462</v>
      </c>
      <c r="C306">
        <v>14873</v>
      </c>
      <c r="D306">
        <v>11.1099996566772</v>
      </c>
      <c r="E306">
        <v>11.1099996566772</v>
      </c>
      <c r="F306">
        <v>0</v>
      </c>
      <c r="G306">
        <v>8.1899995803833008</v>
      </c>
      <c r="H306">
        <v>0.60000002384185802</v>
      </c>
      <c r="I306">
        <v>2.3099999427795401</v>
      </c>
      <c r="J306">
        <v>0</v>
      </c>
      <c r="K306">
        <v>202</v>
      </c>
      <c r="L306">
        <v>36</v>
      </c>
      <c r="M306">
        <v>153</v>
      </c>
      <c r="N306">
        <v>663</v>
      </c>
      <c r="O306">
        <v>4430</v>
      </c>
      <c r="P306" s="3" cm="1">
        <f t="array" ref="P306">_xlfn.XLOOKUP(A306&amp;B306,'[1]Daily Sleep'!$A$2:$A$468&amp;'[1]Daily Sleep'!$B$2:$B$468,'[1]Daily Sleep'!$D$2:$D$468,"")</f>
        <v>5.916666666666667</v>
      </c>
    </row>
    <row r="307" spans="1:16" x14ac:dyDescent="0.35">
      <c r="A307">
        <v>5577150313</v>
      </c>
      <c r="B307" s="1">
        <v>42463</v>
      </c>
      <c r="C307">
        <v>9917</v>
      </c>
      <c r="D307">
        <v>7.4099998474121103</v>
      </c>
      <c r="E307">
        <v>7.4099998474121103</v>
      </c>
      <c r="F307">
        <v>0</v>
      </c>
      <c r="G307">
        <v>1.9900000095367401</v>
      </c>
      <c r="H307">
        <v>0.97000002861022905</v>
      </c>
      <c r="I307">
        <v>4.4400000572204599</v>
      </c>
      <c r="J307">
        <v>0</v>
      </c>
      <c r="K307">
        <v>58</v>
      </c>
      <c r="L307">
        <v>27</v>
      </c>
      <c r="M307">
        <v>240</v>
      </c>
      <c r="N307">
        <v>700</v>
      </c>
      <c r="O307">
        <v>3427</v>
      </c>
      <c r="P307" s="3" cm="1">
        <f t="array" ref="P307">_xlfn.XLOOKUP(A307&amp;B307,'[1]Daily Sleep'!$A$2:$A$468&amp;'[1]Daily Sleep'!$B$2:$B$468,'[1]Daily Sleep'!$D$2:$D$468,"")</f>
        <v>6.4833333333333334</v>
      </c>
    </row>
    <row r="308" spans="1:16" x14ac:dyDescent="0.35">
      <c r="A308">
        <v>5577150313</v>
      </c>
      <c r="B308" s="1">
        <v>42464</v>
      </c>
      <c r="C308">
        <v>7401</v>
      </c>
      <c r="D308">
        <v>5.5599999427795401</v>
      </c>
      <c r="E308">
        <v>5.5599999427795401</v>
      </c>
      <c r="F308">
        <v>0</v>
      </c>
      <c r="G308">
        <v>2.3199999332428001</v>
      </c>
      <c r="H308">
        <v>0.36000001430511502</v>
      </c>
      <c r="I308">
        <v>2.8800001144409202</v>
      </c>
      <c r="J308">
        <v>0</v>
      </c>
      <c r="K308">
        <v>70</v>
      </c>
      <c r="L308">
        <v>19</v>
      </c>
      <c r="M308">
        <v>204</v>
      </c>
      <c r="N308">
        <v>689</v>
      </c>
      <c r="O308">
        <v>3492</v>
      </c>
      <c r="P308" s="3" cm="1">
        <f t="array" ref="P308">_xlfn.XLOOKUP(A308&amp;B308,'[1]Daily Sleep'!$A$2:$A$468&amp;'[1]Daily Sleep'!$B$2:$B$468,'[1]Daily Sleep'!$D$2:$D$468,"")</f>
        <v>7.25</v>
      </c>
    </row>
    <row r="309" spans="1:16" x14ac:dyDescent="0.35">
      <c r="A309">
        <v>5577150313</v>
      </c>
      <c r="B309" s="1">
        <v>42465</v>
      </c>
      <c r="C309">
        <v>8964</v>
      </c>
      <c r="D309">
        <v>6.6999998092651403</v>
      </c>
      <c r="E309">
        <v>6.6999998092651403</v>
      </c>
      <c r="F309">
        <v>0</v>
      </c>
      <c r="G309">
        <v>3.9700000286102299</v>
      </c>
      <c r="H309">
        <v>0.18999999761581399</v>
      </c>
      <c r="I309">
        <v>2.5299999713897701</v>
      </c>
      <c r="J309">
        <v>0</v>
      </c>
      <c r="K309">
        <v>107</v>
      </c>
      <c r="L309">
        <v>18</v>
      </c>
      <c r="M309">
        <v>145</v>
      </c>
      <c r="N309">
        <v>756</v>
      </c>
      <c r="O309">
        <v>3597</v>
      </c>
      <c r="P309" s="3" cm="1">
        <f t="array" ref="P309">_xlfn.XLOOKUP(A309&amp;B309,'[1]Daily Sleep'!$A$2:$A$468&amp;'[1]Daily Sleep'!$B$2:$B$468,'[1]Daily Sleep'!$D$2:$D$468,"")</f>
        <v>6.5</v>
      </c>
    </row>
    <row r="310" spans="1:16" x14ac:dyDescent="0.35">
      <c r="A310">
        <v>5577150313</v>
      </c>
      <c r="B310" s="1">
        <v>42466</v>
      </c>
      <c r="C310">
        <v>11080</v>
      </c>
      <c r="D310">
        <v>8.3000001907348597</v>
      </c>
      <c r="E310">
        <v>8.3000001907348597</v>
      </c>
      <c r="F310">
        <v>0</v>
      </c>
      <c r="G310">
        <v>3.1300001144409202</v>
      </c>
      <c r="H310">
        <v>1.37000000476837</v>
      </c>
      <c r="I310">
        <v>3.8099999427795401</v>
      </c>
      <c r="J310">
        <v>0</v>
      </c>
      <c r="K310">
        <v>83</v>
      </c>
      <c r="L310">
        <v>52</v>
      </c>
      <c r="M310">
        <v>190</v>
      </c>
      <c r="N310">
        <v>695</v>
      </c>
      <c r="O310">
        <v>3765</v>
      </c>
      <c r="P310" s="3" cm="1">
        <f t="array" ref="P310">_xlfn.XLOOKUP(A310&amp;B310,'[1]Daily Sleep'!$A$2:$A$468&amp;'[1]Daily Sleep'!$B$2:$B$468,'[1]Daily Sleep'!$D$2:$D$468,"")</f>
        <v>6.55</v>
      </c>
    </row>
    <row r="311" spans="1:16" x14ac:dyDescent="0.35">
      <c r="A311">
        <v>5577150313</v>
      </c>
      <c r="B311" s="1">
        <v>42467</v>
      </c>
      <c r="C311">
        <v>4499</v>
      </c>
      <c r="D311">
        <v>3.3599998950958301</v>
      </c>
      <c r="E311">
        <v>3.3599998950958301</v>
      </c>
      <c r="F311">
        <v>0</v>
      </c>
      <c r="G311">
        <v>0.88999998569488503</v>
      </c>
      <c r="H311">
        <v>0.259999990463257</v>
      </c>
      <c r="I311">
        <v>2.21000003814697</v>
      </c>
      <c r="J311">
        <v>0</v>
      </c>
      <c r="K311">
        <v>31</v>
      </c>
      <c r="L311">
        <v>11</v>
      </c>
      <c r="M311">
        <v>146</v>
      </c>
      <c r="N311">
        <v>756</v>
      </c>
      <c r="O311">
        <v>2775</v>
      </c>
      <c r="P311" s="3" cm="1">
        <f t="array" ref="P311">_xlfn.XLOOKUP(A311&amp;B311,'[1]Daily Sleep'!$A$2:$A$468&amp;'[1]Daily Sleep'!$B$2:$B$468,'[1]Daily Sleep'!$D$2:$D$468,"")</f>
        <v>7.5666666666666664</v>
      </c>
    </row>
    <row r="312" spans="1:16" x14ac:dyDescent="0.35">
      <c r="A312">
        <v>5577150313</v>
      </c>
      <c r="B312" s="1">
        <v>42468</v>
      </c>
      <c r="C312">
        <v>4363</v>
      </c>
      <c r="D312">
        <v>3.2599999904632599</v>
      </c>
      <c r="E312">
        <v>3.2599999904632599</v>
      </c>
      <c r="F312">
        <v>0</v>
      </c>
      <c r="G312">
        <v>0.129999995231628</v>
      </c>
      <c r="H312">
        <v>5.9999998658895499E-2</v>
      </c>
      <c r="I312">
        <v>3.0799999237060498</v>
      </c>
      <c r="J312">
        <v>0</v>
      </c>
      <c r="K312">
        <v>8</v>
      </c>
      <c r="L312">
        <v>2</v>
      </c>
      <c r="M312">
        <v>156</v>
      </c>
      <c r="N312">
        <v>813</v>
      </c>
      <c r="O312">
        <v>2486</v>
      </c>
      <c r="P312" s="3" cm="1">
        <f t="array" ref="P312">_xlfn.XLOOKUP(A312&amp;B312,'[1]Daily Sleep'!$A$2:$A$468&amp;'[1]Daily Sleep'!$B$2:$B$468,'[1]Daily Sleep'!$D$2:$D$468,"")</f>
        <v>7.5166666666666666</v>
      </c>
    </row>
    <row r="313" spans="1:16" x14ac:dyDescent="0.35">
      <c r="A313">
        <v>5577150313</v>
      </c>
      <c r="B313" s="1">
        <v>42469</v>
      </c>
      <c r="C313">
        <v>10494</v>
      </c>
      <c r="D313">
        <v>7.8400001525878897</v>
      </c>
      <c r="E313">
        <v>7.8400001525878897</v>
      </c>
      <c r="F313">
        <v>0</v>
      </c>
      <c r="G313">
        <v>4.9099998474121103</v>
      </c>
      <c r="H313">
        <v>0.77999997138977095</v>
      </c>
      <c r="I313">
        <v>2.1500000953674299</v>
      </c>
      <c r="J313">
        <v>0</v>
      </c>
      <c r="K313">
        <v>123</v>
      </c>
      <c r="L313">
        <v>62</v>
      </c>
      <c r="M313">
        <v>138</v>
      </c>
      <c r="N313">
        <v>601</v>
      </c>
      <c r="O313">
        <v>3817</v>
      </c>
      <c r="P313" s="3" cm="1">
        <f t="array" ref="P313">_xlfn.XLOOKUP(A313&amp;B313,'[1]Daily Sleep'!$A$2:$A$468&amp;'[1]Daily Sleep'!$B$2:$B$468,'[1]Daily Sleep'!$D$2:$D$468,"")</f>
        <v>8.3166666666666664</v>
      </c>
    </row>
    <row r="314" spans="1:16" x14ac:dyDescent="0.35">
      <c r="A314">
        <v>5577150313</v>
      </c>
      <c r="B314" s="1">
        <v>42470</v>
      </c>
      <c r="C314">
        <v>9776</v>
      </c>
      <c r="D314">
        <v>7.3800001144409197</v>
      </c>
      <c r="E314">
        <v>7.3800001144409197</v>
      </c>
      <c r="F314">
        <v>0</v>
      </c>
      <c r="G314">
        <v>2.9300000667571999</v>
      </c>
      <c r="H314">
        <v>1.4299999475479099</v>
      </c>
      <c r="I314">
        <v>3.0199999809265101</v>
      </c>
      <c r="J314">
        <v>0</v>
      </c>
      <c r="K314">
        <v>80</v>
      </c>
      <c r="L314">
        <v>35</v>
      </c>
      <c r="M314">
        <v>162</v>
      </c>
      <c r="N314">
        <v>721</v>
      </c>
      <c r="O314">
        <v>3378</v>
      </c>
      <c r="P314" s="3" cm="1">
        <f t="array" ref="P314">_xlfn.XLOOKUP(A314&amp;B314,'[1]Daily Sleep'!$A$2:$A$468&amp;'[1]Daily Sleep'!$B$2:$B$468,'[1]Daily Sleep'!$D$2:$D$468,"")</f>
        <v>6.8666666666666663</v>
      </c>
    </row>
    <row r="315" spans="1:16" x14ac:dyDescent="0.35">
      <c r="A315">
        <v>5577150313</v>
      </c>
      <c r="B315" s="1">
        <v>42471</v>
      </c>
      <c r="C315">
        <v>2862</v>
      </c>
      <c r="D315">
        <v>2.1400001049041699</v>
      </c>
      <c r="E315">
        <v>2.1400001049041699</v>
      </c>
      <c r="F315">
        <v>0</v>
      </c>
      <c r="G315">
        <v>1.03999996185303</v>
      </c>
      <c r="H315">
        <v>0.25</v>
      </c>
      <c r="I315">
        <v>0.83999997377395597</v>
      </c>
      <c r="J315">
        <v>0</v>
      </c>
      <c r="K315">
        <v>39</v>
      </c>
      <c r="L315">
        <v>17</v>
      </c>
      <c r="M315">
        <v>54</v>
      </c>
      <c r="N315">
        <v>209</v>
      </c>
      <c r="O315">
        <v>1511</v>
      </c>
      <c r="P315" s="3" cm="1">
        <f t="array" ref="P315">_xlfn.XLOOKUP(A315&amp;B315,'[1]Daily Sleep'!$A$2:$A$468&amp;'[1]Daily Sleep'!$B$2:$B$468,'[1]Daily Sleep'!$D$2:$D$468,"")</f>
        <v>5.2</v>
      </c>
    </row>
    <row r="316" spans="1:16" x14ac:dyDescent="0.35">
      <c r="A316">
        <v>6117666160</v>
      </c>
      <c r="B316" s="1">
        <v>42461</v>
      </c>
      <c r="C316">
        <v>7444</v>
      </c>
      <c r="D316">
        <v>5.6199998855590803</v>
      </c>
      <c r="E316">
        <v>5.6199998855590803</v>
      </c>
      <c r="F316">
        <v>0</v>
      </c>
      <c r="G316">
        <v>0</v>
      </c>
      <c r="H316">
        <v>0</v>
      </c>
      <c r="I316">
        <v>5.6199998855590803</v>
      </c>
      <c r="J316">
        <v>0</v>
      </c>
      <c r="K316">
        <v>0</v>
      </c>
      <c r="L316">
        <v>0</v>
      </c>
      <c r="M316">
        <v>286</v>
      </c>
      <c r="N316">
        <v>568</v>
      </c>
      <c r="O316">
        <v>2210</v>
      </c>
      <c r="P316" s="3" cm="1">
        <f t="array" ref="P316">_xlfn.XLOOKUP(A316&amp;B316,'[1]Daily Sleep'!$A$2:$A$468&amp;'[1]Daily Sleep'!$B$2:$B$468,'[1]Daily Sleep'!$D$2:$D$468,"")</f>
        <v>9.3000000000000007</v>
      </c>
    </row>
    <row r="317" spans="1:16" x14ac:dyDescent="0.35">
      <c r="A317">
        <v>6117666160</v>
      </c>
      <c r="B317" s="1">
        <v>42462</v>
      </c>
      <c r="C317">
        <v>19658</v>
      </c>
      <c r="D317">
        <v>14.8400001525879</v>
      </c>
      <c r="E317">
        <v>14.8400001525879</v>
      </c>
      <c r="F317">
        <v>0</v>
      </c>
      <c r="G317">
        <v>0.239999994635582</v>
      </c>
      <c r="H317">
        <v>2.0899999141693102</v>
      </c>
      <c r="I317">
        <v>12.5100002288818</v>
      </c>
      <c r="J317">
        <v>0</v>
      </c>
      <c r="K317">
        <v>3</v>
      </c>
      <c r="L317">
        <v>30</v>
      </c>
      <c r="M317">
        <v>475</v>
      </c>
      <c r="N317">
        <v>466</v>
      </c>
      <c r="O317">
        <v>2884</v>
      </c>
      <c r="P317" s="3" cm="1">
        <f t="array" ref="P317">_xlfn.XLOOKUP(A317&amp;B317,'[1]Daily Sleep'!$A$2:$A$468&amp;'[1]Daily Sleep'!$B$2:$B$468,'[1]Daily Sleep'!$D$2:$D$468,"")</f>
        <v>7.5666666666666664</v>
      </c>
    </row>
    <row r="318" spans="1:16" x14ac:dyDescent="0.35">
      <c r="A318">
        <v>6117666160</v>
      </c>
      <c r="B318" s="1">
        <v>42463</v>
      </c>
      <c r="C318">
        <v>0</v>
      </c>
      <c r="D318">
        <v>0</v>
      </c>
      <c r="E318">
        <v>0</v>
      </c>
      <c r="F318">
        <v>0</v>
      </c>
      <c r="G318">
        <v>0</v>
      </c>
      <c r="H318">
        <v>0</v>
      </c>
      <c r="I318">
        <v>0</v>
      </c>
      <c r="J318">
        <v>0</v>
      </c>
      <c r="K318">
        <v>0</v>
      </c>
      <c r="L318">
        <v>0</v>
      </c>
      <c r="M318">
        <v>0</v>
      </c>
      <c r="N318">
        <v>1440</v>
      </c>
      <c r="O318">
        <v>1496</v>
      </c>
      <c r="P318" s="3" t="str" cm="1">
        <f t="array" ref="P318">_xlfn.XLOOKUP(A318&amp;B318,'[1]Daily Sleep'!$A$2:$A$468&amp;'[1]Daily Sleep'!$B$2:$B$468,'[1]Daily Sleep'!$D$2:$D$468,"")</f>
        <v/>
      </c>
    </row>
    <row r="319" spans="1:16" x14ac:dyDescent="0.35">
      <c r="A319">
        <v>6117666160</v>
      </c>
      <c r="B319" s="1">
        <v>42464</v>
      </c>
      <c r="C319">
        <v>8468</v>
      </c>
      <c r="D319">
        <v>6.3899998664856001</v>
      </c>
      <c r="E319">
        <v>6.3899998664856001</v>
      </c>
      <c r="F319">
        <v>0</v>
      </c>
      <c r="G319">
        <v>0.18000000715255701</v>
      </c>
      <c r="H319">
        <v>0.63999998569488503</v>
      </c>
      <c r="I319">
        <v>5.5700001716613796</v>
      </c>
      <c r="J319">
        <v>0</v>
      </c>
      <c r="K319">
        <v>2</v>
      </c>
      <c r="L319">
        <v>11</v>
      </c>
      <c r="M319">
        <v>279</v>
      </c>
      <c r="N319">
        <v>1148</v>
      </c>
      <c r="O319">
        <v>2262</v>
      </c>
      <c r="P319" s="3" t="str" cm="1">
        <f t="array" ref="P319">_xlfn.XLOOKUP(A319&amp;B319,'[1]Daily Sleep'!$A$2:$A$468&amp;'[1]Daily Sleep'!$B$2:$B$468,'[1]Daily Sleep'!$D$2:$D$468,"")</f>
        <v/>
      </c>
    </row>
    <row r="320" spans="1:16" x14ac:dyDescent="0.35">
      <c r="A320">
        <v>6117666160</v>
      </c>
      <c r="B320" s="1">
        <v>42465</v>
      </c>
      <c r="C320">
        <v>9910</v>
      </c>
      <c r="D320">
        <v>7.4800000190734899</v>
      </c>
      <c r="E320">
        <v>7.4800000190734899</v>
      </c>
      <c r="F320">
        <v>0</v>
      </c>
      <c r="G320">
        <v>0</v>
      </c>
      <c r="H320">
        <v>0</v>
      </c>
      <c r="I320">
        <v>7.4800000190734899</v>
      </c>
      <c r="J320">
        <v>0</v>
      </c>
      <c r="K320">
        <v>0</v>
      </c>
      <c r="L320">
        <v>0</v>
      </c>
      <c r="M320">
        <v>384</v>
      </c>
      <c r="N320">
        <v>990</v>
      </c>
      <c r="O320">
        <v>2445</v>
      </c>
      <c r="P320" s="3" cm="1">
        <f t="array" ref="P320">_xlfn.XLOOKUP(A320&amp;B320,'[1]Daily Sleep'!$A$2:$A$468&amp;'[1]Daily Sleep'!$B$2:$B$468,'[1]Daily Sleep'!$D$2:$D$468,"")</f>
        <v>1.0166666666666666</v>
      </c>
    </row>
    <row r="321" spans="1:16" x14ac:dyDescent="0.35">
      <c r="A321">
        <v>6117666160</v>
      </c>
      <c r="B321" s="1">
        <v>42466</v>
      </c>
      <c r="C321">
        <v>12409</v>
      </c>
      <c r="D321">
        <v>9.3699998855590803</v>
      </c>
      <c r="E321">
        <v>9.3699998855590803</v>
      </c>
      <c r="F321">
        <v>0</v>
      </c>
      <c r="G321">
        <v>0</v>
      </c>
      <c r="H321">
        <v>0</v>
      </c>
      <c r="I321">
        <v>9.3699998855590803</v>
      </c>
      <c r="J321">
        <v>0</v>
      </c>
      <c r="K321">
        <v>0</v>
      </c>
      <c r="L321">
        <v>0</v>
      </c>
      <c r="M321">
        <v>491</v>
      </c>
      <c r="N321">
        <v>388</v>
      </c>
      <c r="O321">
        <v>2694</v>
      </c>
      <c r="P321" s="3" cm="1">
        <f t="array" ref="P321">_xlfn.XLOOKUP(A321&amp;B321,'[1]Daily Sleep'!$A$2:$A$468&amp;'[1]Daily Sleep'!$B$2:$B$468,'[1]Daily Sleep'!$D$2:$D$468,"")</f>
        <v>8.7166666666666668</v>
      </c>
    </row>
    <row r="322" spans="1:16" x14ac:dyDescent="0.35">
      <c r="A322">
        <v>6117666160</v>
      </c>
      <c r="B322" s="1">
        <v>42467</v>
      </c>
      <c r="C322">
        <v>4853</v>
      </c>
      <c r="D322">
        <v>3.6600000858306898</v>
      </c>
      <c r="E322">
        <v>3.6600000858306898</v>
      </c>
      <c r="F322">
        <v>0</v>
      </c>
      <c r="G322">
        <v>0</v>
      </c>
      <c r="H322">
        <v>0</v>
      </c>
      <c r="I322">
        <v>3.6600000858306898</v>
      </c>
      <c r="J322">
        <v>0</v>
      </c>
      <c r="K322">
        <v>0</v>
      </c>
      <c r="L322">
        <v>0</v>
      </c>
      <c r="M322">
        <v>156</v>
      </c>
      <c r="N322">
        <v>770</v>
      </c>
      <c r="O322">
        <v>1903</v>
      </c>
      <c r="P322" s="3" cm="1">
        <f t="array" ref="P322">_xlfn.XLOOKUP(A322&amp;B322,'[1]Daily Sleep'!$A$2:$A$468&amp;'[1]Daily Sleep'!$B$2:$B$468,'[1]Daily Sleep'!$D$2:$D$468,"")</f>
        <v>8.3166666666666664</v>
      </c>
    </row>
    <row r="323" spans="1:16" x14ac:dyDescent="0.35">
      <c r="A323">
        <v>6117666160</v>
      </c>
      <c r="B323" s="1">
        <v>42468</v>
      </c>
      <c r="C323">
        <v>8955</v>
      </c>
      <c r="D323">
        <v>6.7600002288818404</v>
      </c>
      <c r="E323">
        <v>6.7600002288818404</v>
      </c>
      <c r="F323">
        <v>0</v>
      </c>
      <c r="G323">
        <v>0</v>
      </c>
      <c r="H323">
        <v>0</v>
      </c>
      <c r="I323">
        <v>6.7300000190734899</v>
      </c>
      <c r="J323">
        <v>0</v>
      </c>
      <c r="K323">
        <v>0</v>
      </c>
      <c r="L323">
        <v>0</v>
      </c>
      <c r="M323">
        <v>422</v>
      </c>
      <c r="N323">
        <v>1018</v>
      </c>
      <c r="O323">
        <v>2482</v>
      </c>
      <c r="P323" s="3" t="str" cm="1">
        <f t="array" ref="P323">_xlfn.XLOOKUP(A323&amp;B323,'[1]Daily Sleep'!$A$2:$A$468&amp;'[1]Daily Sleep'!$B$2:$B$468,'[1]Daily Sleep'!$D$2:$D$468,"")</f>
        <v/>
      </c>
    </row>
    <row r="324" spans="1:16" x14ac:dyDescent="0.35">
      <c r="A324">
        <v>6117666160</v>
      </c>
      <c r="B324" s="1">
        <v>42469</v>
      </c>
      <c r="C324">
        <v>10789</v>
      </c>
      <c r="D324">
        <v>8.1499996185302699</v>
      </c>
      <c r="E324">
        <v>8.1499996185302699</v>
      </c>
      <c r="F324">
        <v>0</v>
      </c>
      <c r="G324">
        <v>0</v>
      </c>
      <c r="H324">
        <v>0</v>
      </c>
      <c r="I324">
        <v>8.1499996185302699</v>
      </c>
      <c r="J324">
        <v>0</v>
      </c>
      <c r="K324">
        <v>0</v>
      </c>
      <c r="L324">
        <v>0</v>
      </c>
      <c r="M324">
        <v>506</v>
      </c>
      <c r="N324">
        <v>413</v>
      </c>
      <c r="O324">
        <v>2617</v>
      </c>
      <c r="P324" s="3" cm="1">
        <f t="array" ref="P324">_xlfn.XLOOKUP(A324&amp;B324,'[1]Daily Sleep'!$A$2:$A$468&amp;'[1]Daily Sleep'!$B$2:$B$468,'[1]Daily Sleep'!$D$2:$D$468,"")</f>
        <v>7.25</v>
      </c>
    </row>
    <row r="325" spans="1:16" x14ac:dyDescent="0.35">
      <c r="A325">
        <v>6117666160</v>
      </c>
      <c r="B325" s="1">
        <v>42470</v>
      </c>
      <c r="C325">
        <v>0</v>
      </c>
      <c r="D325">
        <v>0</v>
      </c>
      <c r="E325">
        <v>0</v>
      </c>
      <c r="F325">
        <v>0</v>
      </c>
      <c r="G325">
        <v>0</v>
      </c>
      <c r="H325">
        <v>0</v>
      </c>
      <c r="I325">
        <v>0</v>
      </c>
      <c r="J325">
        <v>0</v>
      </c>
      <c r="K325">
        <v>0</v>
      </c>
      <c r="L325">
        <v>0</v>
      </c>
      <c r="M325">
        <v>0</v>
      </c>
      <c r="N325">
        <v>1440</v>
      </c>
      <c r="O325">
        <v>0</v>
      </c>
      <c r="P325" s="3" t="str" cm="1">
        <f t="array" ref="P325">_xlfn.XLOOKUP(A325&amp;B325,'[1]Daily Sleep'!$A$2:$A$468&amp;'[1]Daily Sleep'!$B$2:$B$468,'[1]Daily Sleep'!$D$2:$D$468,"")</f>
        <v/>
      </c>
    </row>
    <row r="326" spans="1:16" x14ac:dyDescent="0.35">
      <c r="A326">
        <v>6290855005</v>
      </c>
      <c r="B326" s="1">
        <v>42461</v>
      </c>
      <c r="C326">
        <v>6633</v>
      </c>
      <c r="D326">
        <v>5.0100002288818404</v>
      </c>
      <c r="E326">
        <v>5.0100002288818404</v>
      </c>
      <c r="F326">
        <v>0</v>
      </c>
      <c r="G326">
        <v>0</v>
      </c>
      <c r="H326">
        <v>0</v>
      </c>
      <c r="I326">
        <v>5.0100002288818404</v>
      </c>
      <c r="J326">
        <v>0</v>
      </c>
      <c r="K326">
        <v>0</v>
      </c>
      <c r="L326">
        <v>0</v>
      </c>
      <c r="M326">
        <v>280</v>
      </c>
      <c r="N326">
        <v>1160</v>
      </c>
      <c r="O326">
        <v>2778</v>
      </c>
      <c r="P326" s="3" t="str" cm="1">
        <f t="array" ref="P326">_xlfn.XLOOKUP(A326&amp;B326,'[1]Daily Sleep'!$A$2:$A$468&amp;'[1]Daily Sleep'!$B$2:$B$468,'[1]Daily Sleep'!$D$2:$D$468,"")</f>
        <v/>
      </c>
    </row>
    <row r="327" spans="1:16" x14ac:dyDescent="0.35">
      <c r="A327">
        <v>6290855005</v>
      </c>
      <c r="B327" s="1">
        <v>42462</v>
      </c>
      <c r="C327">
        <v>9548</v>
      </c>
      <c r="D327">
        <v>7.2199997901916504</v>
      </c>
      <c r="E327">
        <v>7.2199997901916504</v>
      </c>
      <c r="F327">
        <v>0</v>
      </c>
      <c r="G327">
        <v>2.0199999809265101</v>
      </c>
      <c r="H327">
        <v>3.6800000667571999</v>
      </c>
      <c r="I327">
        <v>1.5199999809265099</v>
      </c>
      <c r="J327">
        <v>0</v>
      </c>
      <c r="K327">
        <v>25</v>
      </c>
      <c r="L327">
        <v>107</v>
      </c>
      <c r="M327">
        <v>113</v>
      </c>
      <c r="N327">
        <v>1195</v>
      </c>
      <c r="O327">
        <v>3119</v>
      </c>
      <c r="P327" s="3" t="str" cm="1">
        <f t="array" ref="P327">_xlfn.XLOOKUP(A327&amp;B327,'[1]Daily Sleep'!$A$2:$A$468&amp;'[1]Daily Sleep'!$B$2:$B$468,'[1]Daily Sleep'!$D$2:$D$468,"")</f>
        <v/>
      </c>
    </row>
    <row r="328" spans="1:16" x14ac:dyDescent="0.35">
      <c r="A328">
        <v>6290855005</v>
      </c>
      <c r="B328" s="1">
        <v>42463</v>
      </c>
      <c r="C328">
        <v>0</v>
      </c>
      <c r="D328">
        <v>0</v>
      </c>
      <c r="E328">
        <v>0</v>
      </c>
      <c r="F328">
        <v>0</v>
      </c>
      <c r="G328">
        <v>0</v>
      </c>
      <c r="H328">
        <v>0</v>
      </c>
      <c r="I328">
        <v>0</v>
      </c>
      <c r="J328">
        <v>0</v>
      </c>
      <c r="K328">
        <v>33</v>
      </c>
      <c r="L328">
        <v>0</v>
      </c>
      <c r="M328">
        <v>0</v>
      </c>
      <c r="N328">
        <v>1407</v>
      </c>
      <c r="O328">
        <v>2664</v>
      </c>
      <c r="P328" s="3" t="str" cm="1">
        <f t="array" ref="P328">_xlfn.XLOOKUP(A328&amp;B328,'[1]Daily Sleep'!$A$2:$A$468&amp;'[1]Daily Sleep'!$B$2:$B$468,'[1]Daily Sleep'!$D$2:$D$468,"")</f>
        <v/>
      </c>
    </row>
    <row r="329" spans="1:16" x14ac:dyDescent="0.35">
      <c r="A329">
        <v>6290855005</v>
      </c>
      <c r="B329" s="1">
        <v>42464</v>
      </c>
      <c r="C329">
        <v>0</v>
      </c>
      <c r="D329">
        <v>0</v>
      </c>
      <c r="E329">
        <v>0</v>
      </c>
      <c r="F329">
        <v>0</v>
      </c>
      <c r="G329">
        <v>0</v>
      </c>
      <c r="H329">
        <v>0</v>
      </c>
      <c r="I329">
        <v>0</v>
      </c>
      <c r="J329">
        <v>0</v>
      </c>
      <c r="K329">
        <v>0</v>
      </c>
      <c r="L329">
        <v>0</v>
      </c>
      <c r="M329">
        <v>0</v>
      </c>
      <c r="N329">
        <v>1440</v>
      </c>
      <c r="O329">
        <v>2060</v>
      </c>
      <c r="P329" s="3" t="str" cm="1">
        <f t="array" ref="P329">_xlfn.XLOOKUP(A329&amp;B329,'[1]Daily Sleep'!$A$2:$A$468&amp;'[1]Daily Sleep'!$B$2:$B$468,'[1]Daily Sleep'!$D$2:$D$468,"")</f>
        <v/>
      </c>
    </row>
    <row r="330" spans="1:16" x14ac:dyDescent="0.35">
      <c r="A330">
        <v>6290855005</v>
      </c>
      <c r="B330" s="1">
        <v>42465</v>
      </c>
      <c r="C330">
        <v>0</v>
      </c>
      <c r="D330">
        <v>0</v>
      </c>
      <c r="E330">
        <v>0</v>
      </c>
      <c r="F330">
        <v>0</v>
      </c>
      <c r="G330">
        <v>0</v>
      </c>
      <c r="H330">
        <v>0</v>
      </c>
      <c r="I330">
        <v>0</v>
      </c>
      <c r="J330">
        <v>0</v>
      </c>
      <c r="K330">
        <v>0</v>
      </c>
      <c r="L330">
        <v>0</v>
      </c>
      <c r="M330">
        <v>0</v>
      </c>
      <c r="N330">
        <v>1440</v>
      </c>
      <c r="O330">
        <v>2060</v>
      </c>
      <c r="P330" s="3" t="str" cm="1">
        <f t="array" ref="P330">_xlfn.XLOOKUP(A330&amp;B330,'[1]Daily Sleep'!$A$2:$A$468&amp;'[1]Daily Sleep'!$B$2:$B$468,'[1]Daily Sleep'!$D$2:$D$468,"")</f>
        <v/>
      </c>
    </row>
    <row r="331" spans="1:16" x14ac:dyDescent="0.35">
      <c r="A331">
        <v>6290855005</v>
      </c>
      <c r="B331" s="1">
        <v>42466</v>
      </c>
      <c r="C331">
        <v>0</v>
      </c>
      <c r="D331">
        <v>0</v>
      </c>
      <c r="E331">
        <v>0</v>
      </c>
      <c r="F331">
        <v>0</v>
      </c>
      <c r="G331">
        <v>0</v>
      </c>
      <c r="H331">
        <v>0</v>
      </c>
      <c r="I331">
        <v>0</v>
      </c>
      <c r="J331">
        <v>0</v>
      </c>
      <c r="K331">
        <v>0</v>
      </c>
      <c r="L331">
        <v>0</v>
      </c>
      <c r="M331">
        <v>0</v>
      </c>
      <c r="N331">
        <v>1440</v>
      </c>
      <c r="O331">
        <v>2060</v>
      </c>
      <c r="P331" s="3" t="str" cm="1">
        <f t="array" ref="P331">_xlfn.XLOOKUP(A331&amp;B331,'[1]Daily Sleep'!$A$2:$A$468&amp;'[1]Daily Sleep'!$B$2:$B$468,'[1]Daily Sleep'!$D$2:$D$468,"")</f>
        <v/>
      </c>
    </row>
    <row r="332" spans="1:16" x14ac:dyDescent="0.35">
      <c r="A332">
        <v>6290855005</v>
      </c>
      <c r="B332" s="1">
        <v>42467</v>
      </c>
      <c r="C332">
        <v>0</v>
      </c>
      <c r="D332">
        <v>0</v>
      </c>
      <c r="E332">
        <v>0</v>
      </c>
      <c r="F332">
        <v>0</v>
      </c>
      <c r="G332">
        <v>0</v>
      </c>
      <c r="H332">
        <v>0</v>
      </c>
      <c r="I332">
        <v>0</v>
      </c>
      <c r="J332">
        <v>0</v>
      </c>
      <c r="K332">
        <v>0</v>
      </c>
      <c r="L332">
        <v>0</v>
      </c>
      <c r="M332">
        <v>0</v>
      </c>
      <c r="N332">
        <v>1440</v>
      </c>
      <c r="O332">
        <v>2060</v>
      </c>
      <c r="P332" s="3" t="str" cm="1">
        <f t="array" ref="P332">_xlfn.XLOOKUP(A332&amp;B332,'[1]Daily Sleep'!$A$2:$A$468&amp;'[1]Daily Sleep'!$B$2:$B$468,'[1]Daily Sleep'!$D$2:$D$468,"")</f>
        <v/>
      </c>
    </row>
    <row r="333" spans="1:16" x14ac:dyDescent="0.35">
      <c r="A333">
        <v>6290855005</v>
      </c>
      <c r="B333" s="1">
        <v>42468</v>
      </c>
      <c r="C333">
        <v>0</v>
      </c>
      <c r="D333">
        <v>0</v>
      </c>
      <c r="E333">
        <v>0</v>
      </c>
      <c r="F333">
        <v>0</v>
      </c>
      <c r="G333">
        <v>0</v>
      </c>
      <c r="H333">
        <v>0</v>
      </c>
      <c r="I333">
        <v>0</v>
      </c>
      <c r="J333">
        <v>0</v>
      </c>
      <c r="K333">
        <v>0</v>
      </c>
      <c r="L333">
        <v>0</v>
      </c>
      <c r="M333">
        <v>0</v>
      </c>
      <c r="N333">
        <v>1440</v>
      </c>
      <c r="O333">
        <v>2060</v>
      </c>
      <c r="P333" s="3" t="str" cm="1">
        <f t="array" ref="P333">_xlfn.XLOOKUP(A333&amp;B333,'[1]Daily Sleep'!$A$2:$A$468&amp;'[1]Daily Sleep'!$B$2:$B$468,'[1]Daily Sleep'!$D$2:$D$468,"")</f>
        <v/>
      </c>
    </row>
    <row r="334" spans="1:16" x14ac:dyDescent="0.35">
      <c r="A334">
        <v>6290855005</v>
      </c>
      <c r="B334" s="1">
        <v>42469</v>
      </c>
      <c r="C334">
        <v>0</v>
      </c>
      <c r="D334">
        <v>0</v>
      </c>
      <c r="E334">
        <v>0</v>
      </c>
      <c r="F334">
        <v>0</v>
      </c>
      <c r="G334">
        <v>0</v>
      </c>
      <c r="H334">
        <v>0</v>
      </c>
      <c r="I334">
        <v>0</v>
      </c>
      <c r="J334">
        <v>0</v>
      </c>
      <c r="K334">
        <v>0</v>
      </c>
      <c r="L334">
        <v>0</v>
      </c>
      <c r="M334">
        <v>0</v>
      </c>
      <c r="N334">
        <v>1440</v>
      </c>
      <c r="O334">
        <v>2060</v>
      </c>
      <c r="P334" s="3" t="str" cm="1">
        <f t="array" ref="P334">_xlfn.XLOOKUP(A334&amp;B334,'[1]Daily Sleep'!$A$2:$A$468&amp;'[1]Daily Sleep'!$B$2:$B$468,'[1]Daily Sleep'!$D$2:$D$468,"")</f>
        <v/>
      </c>
    </row>
    <row r="335" spans="1:16" x14ac:dyDescent="0.35">
      <c r="A335">
        <v>6290855005</v>
      </c>
      <c r="B335" s="1">
        <v>42470</v>
      </c>
      <c r="C335">
        <v>0</v>
      </c>
      <c r="D335">
        <v>0</v>
      </c>
      <c r="E335">
        <v>0</v>
      </c>
      <c r="F335">
        <v>0</v>
      </c>
      <c r="G335">
        <v>0</v>
      </c>
      <c r="H335">
        <v>0</v>
      </c>
      <c r="I335">
        <v>0</v>
      </c>
      <c r="J335">
        <v>0</v>
      </c>
      <c r="K335">
        <v>20</v>
      </c>
      <c r="L335">
        <v>0</v>
      </c>
      <c r="M335">
        <v>0</v>
      </c>
      <c r="N335">
        <v>494</v>
      </c>
      <c r="O335">
        <v>735</v>
      </c>
      <c r="P335" s="3" t="str" cm="1">
        <f t="array" ref="P335">_xlfn.XLOOKUP(A335&amp;B335,'[1]Daily Sleep'!$A$2:$A$468&amp;'[1]Daily Sleep'!$B$2:$B$468,'[1]Daily Sleep'!$D$2:$D$468,"")</f>
        <v/>
      </c>
    </row>
    <row r="336" spans="1:16" x14ac:dyDescent="0.35">
      <c r="A336">
        <v>6391747486</v>
      </c>
      <c r="B336" s="1">
        <v>42461</v>
      </c>
      <c r="C336">
        <v>0</v>
      </c>
      <c r="D336">
        <v>0</v>
      </c>
      <c r="E336">
        <v>0</v>
      </c>
      <c r="F336">
        <v>0</v>
      </c>
      <c r="G336">
        <v>0</v>
      </c>
      <c r="H336">
        <v>0</v>
      </c>
      <c r="I336">
        <v>0</v>
      </c>
      <c r="J336">
        <v>0</v>
      </c>
      <c r="K336">
        <v>0</v>
      </c>
      <c r="L336">
        <v>0</v>
      </c>
      <c r="M336">
        <v>0</v>
      </c>
      <c r="N336">
        <v>1440</v>
      </c>
      <c r="O336">
        <v>1820</v>
      </c>
      <c r="P336" s="3" t="str" cm="1">
        <f t="array" ref="P336">_xlfn.XLOOKUP(A336&amp;B336,'[1]Daily Sleep'!$A$2:$A$468&amp;'[1]Daily Sleep'!$B$2:$B$468,'[1]Daily Sleep'!$D$2:$D$468,"")</f>
        <v/>
      </c>
    </row>
    <row r="337" spans="1:16" x14ac:dyDescent="0.35">
      <c r="A337">
        <v>6391747486</v>
      </c>
      <c r="B337" s="1">
        <v>42462</v>
      </c>
      <c r="C337">
        <v>2101</v>
      </c>
      <c r="D337">
        <v>2.0299999713897701</v>
      </c>
      <c r="E337">
        <v>0</v>
      </c>
      <c r="F337">
        <v>2.0277729034423801</v>
      </c>
      <c r="G337">
        <v>2.0299999713897701</v>
      </c>
      <c r="H337">
        <v>0</v>
      </c>
      <c r="I337">
        <v>0</v>
      </c>
      <c r="J337">
        <v>0</v>
      </c>
      <c r="K337">
        <v>46</v>
      </c>
      <c r="L337">
        <v>0</v>
      </c>
      <c r="M337">
        <v>0</v>
      </c>
      <c r="N337">
        <v>1394</v>
      </c>
      <c r="O337">
        <v>2224</v>
      </c>
      <c r="P337" s="3" t="str" cm="1">
        <f t="array" ref="P337">_xlfn.XLOOKUP(A337&amp;B337,'[1]Daily Sleep'!$A$2:$A$468&amp;'[1]Daily Sleep'!$B$2:$B$468,'[1]Daily Sleep'!$D$2:$D$468,"")</f>
        <v/>
      </c>
    </row>
    <row r="338" spans="1:16" x14ac:dyDescent="0.35">
      <c r="A338">
        <v>6391747486</v>
      </c>
      <c r="B338" s="1">
        <v>42463</v>
      </c>
      <c r="C338">
        <v>0</v>
      </c>
      <c r="D338">
        <v>0</v>
      </c>
      <c r="E338">
        <v>0</v>
      </c>
      <c r="F338">
        <v>0</v>
      </c>
      <c r="G338">
        <v>0</v>
      </c>
      <c r="H338">
        <v>0</v>
      </c>
      <c r="I338">
        <v>0</v>
      </c>
      <c r="J338">
        <v>0</v>
      </c>
      <c r="K338">
        <v>0</v>
      </c>
      <c r="L338">
        <v>0</v>
      </c>
      <c r="M338">
        <v>0</v>
      </c>
      <c r="N338">
        <v>1440</v>
      </c>
      <c r="O338">
        <v>1820</v>
      </c>
      <c r="P338" s="3" t="str" cm="1">
        <f t="array" ref="P338">_xlfn.XLOOKUP(A338&amp;B338,'[1]Daily Sleep'!$A$2:$A$468&amp;'[1]Daily Sleep'!$B$2:$B$468,'[1]Daily Sleep'!$D$2:$D$468,"")</f>
        <v/>
      </c>
    </row>
    <row r="339" spans="1:16" x14ac:dyDescent="0.35">
      <c r="A339">
        <v>6391747486</v>
      </c>
      <c r="B339" s="1">
        <v>42464</v>
      </c>
      <c r="C339">
        <v>0</v>
      </c>
      <c r="D339">
        <v>0</v>
      </c>
      <c r="E339">
        <v>0</v>
      </c>
      <c r="F339">
        <v>0</v>
      </c>
      <c r="G339">
        <v>0</v>
      </c>
      <c r="H339">
        <v>0</v>
      </c>
      <c r="I339">
        <v>0</v>
      </c>
      <c r="J339">
        <v>0</v>
      </c>
      <c r="K339">
        <v>0</v>
      </c>
      <c r="L339">
        <v>0</v>
      </c>
      <c r="M339">
        <v>0</v>
      </c>
      <c r="N339">
        <v>1440</v>
      </c>
      <c r="O339">
        <v>1820</v>
      </c>
      <c r="P339" s="3" t="str" cm="1">
        <f t="array" ref="P339">_xlfn.XLOOKUP(A339&amp;B339,'[1]Daily Sleep'!$A$2:$A$468&amp;'[1]Daily Sleep'!$B$2:$B$468,'[1]Daily Sleep'!$D$2:$D$468,"")</f>
        <v/>
      </c>
    </row>
    <row r="340" spans="1:16" x14ac:dyDescent="0.35">
      <c r="A340">
        <v>6391747486</v>
      </c>
      <c r="B340" s="1">
        <v>42465</v>
      </c>
      <c r="C340">
        <v>9766</v>
      </c>
      <c r="D340">
        <v>7.5100002288818404</v>
      </c>
      <c r="E340">
        <v>0.77999997138977095</v>
      </c>
      <c r="F340">
        <v>6.7270569801330602</v>
      </c>
      <c r="G340">
        <v>0</v>
      </c>
      <c r="H340">
        <v>5.0000000745058101E-2</v>
      </c>
      <c r="I340">
        <v>7.46000003814697</v>
      </c>
      <c r="J340">
        <v>0</v>
      </c>
      <c r="K340">
        <v>0</v>
      </c>
      <c r="L340">
        <v>6</v>
      </c>
      <c r="M340">
        <v>301</v>
      </c>
      <c r="N340">
        <v>1133</v>
      </c>
      <c r="O340">
        <v>2442</v>
      </c>
      <c r="P340" s="3" t="str" cm="1">
        <f t="array" ref="P340">_xlfn.XLOOKUP(A340&amp;B340,'[1]Daily Sleep'!$A$2:$A$468&amp;'[1]Daily Sleep'!$B$2:$B$468,'[1]Daily Sleep'!$D$2:$D$468,"")</f>
        <v/>
      </c>
    </row>
    <row r="341" spans="1:16" x14ac:dyDescent="0.35">
      <c r="A341">
        <v>6391747486</v>
      </c>
      <c r="B341" s="1">
        <v>42466</v>
      </c>
      <c r="C341">
        <v>165</v>
      </c>
      <c r="D341">
        <v>0.129999995231628</v>
      </c>
      <c r="E341">
        <v>0.129999995231628</v>
      </c>
      <c r="F341">
        <v>0</v>
      </c>
      <c r="G341">
        <v>0</v>
      </c>
      <c r="H341">
        <v>0</v>
      </c>
      <c r="I341">
        <v>0.129999995231628</v>
      </c>
      <c r="J341">
        <v>0</v>
      </c>
      <c r="K341">
        <v>0</v>
      </c>
      <c r="L341">
        <v>0</v>
      </c>
      <c r="M341">
        <v>8</v>
      </c>
      <c r="N341">
        <v>1432</v>
      </c>
      <c r="O341">
        <v>1849</v>
      </c>
      <c r="P341" s="3" t="str" cm="1">
        <f t="array" ref="P341">_xlfn.XLOOKUP(A341&amp;B341,'[1]Daily Sleep'!$A$2:$A$468&amp;'[1]Daily Sleep'!$B$2:$B$468,'[1]Daily Sleep'!$D$2:$D$468,"")</f>
        <v/>
      </c>
    </row>
    <row r="342" spans="1:16" x14ac:dyDescent="0.35">
      <c r="A342">
        <v>6391747486</v>
      </c>
      <c r="B342" s="1">
        <v>42467</v>
      </c>
      <c r="C342">
        <v>0</v>
      </c>
      <c r="D342">
        <v>0</v>
      </c>
      <c r="E342">
        <v>0</v>
      </c>
      <c r="F342">
        <v>0</v>
      </c>
      <c r="G342">
        <v>0</v>
      </c>
      <c r="H342">
        <v>0</v>
      </c>
      <c r="I342">
        <v>0</v>
      </c>
      <c r="J342">
        <v>0</v>
      </c>
      <c r="K342">
        <v>0</v>
      </c>
      <c r="L342">
        <v>0</v>
      </c>
      <c r="M342">
        <v>0</v>
      </c>
      <c r="N342">
        <v>1440</v>
      </c>
      <c r="O342">
        <v>1822</v>
      </c>
      <c r="P342" s="3" t="str" cm="1">
        <f t="array" ref="P342">_xlfn.XLOOKUP(A342&amp;B342,'[1]Daily Sleep'!$A$2:$A$468&amp;'[1]Daily Sleep'!$B$2:$B$468,'[1]Daily Sleep'!$D$2:$D$468,"")</f>
        <v/>
      </c>
    </row>
    <row r="343" spans="1:16" x14ac:dyDescent="0.35">
      <c r="A343">
        <v>6391747486</v>
      </c>
      <c r="B343" s="1">
        <v>42468</v>
      </c>
      <c r="C343">
        <v>0</v>
      </c>
      <c r="D343">
        <v>0</v>
      </c>
      <c r="E343">
        <v>0</v>
      </c>
      <c r="F343">
        <v>0</v>
      </c>
      <c r="G343">
        <v>0</v>
      </c>
      <c r="H343">
        <v>0</v>
      </c>
      <c r="I343">
        <v>0</v>
      </c>
      <c r="J343">
        <v>0</v>
      </c>
      <c r="K343">
        <v>0</v>
      </c>
      <c r="L343">
        <v>0</v>
      </c>
      <c r="M343">
        <v>0</v>
      </c>
      <c r="N343">
        <v>1440</v>
      </c>
      <c r="O343">
        <v>1820</v>
      </c>
      <c r="P343" s="3" t="str" cm="1">
        <f t="array" ref="P343">_xlfn.XLOOKUP(A343&amp;B343,'[1]Daily Sleep'!$A$2:$A$468&amp;'[1]Daily Sleep'!$B$2:$B$468,'[1]Daily Sleep'!$D$2:$D$468,"")</f>
        <v/>
      </c>
    </row>
    <row r="344" spans="1:16" x14ac:dyDescent="0.35">
      <c r="A344">
        <v>6391747486</v>
      </c>
      <c r="B344" s="1">
        <v>42469</v>
      </c>
      <c r="C344">
        <v>0</v>
      </c>
      <c r="D344">
        <v>0</v>
      </c>
      <c r="E344">
        <v>0</v>
      </c>
      <c r="F344">
        <v>0</v>
      </c>
      <c r="G344">
        <v>0</v>
      </c>
      <c r="H344">
        <v>0</v>
      </c>
      <c r="I344">
        <v>0</v>
      </c>
      <c r="J344">
        <v>0</v>
      </c>
      <c r="K344">
        <v>0</v>
      </c>
      <c r="L344">
        <v>0</v>
      </c>
      <c r="M344">
        <v>0</v>
      </c>
      <c r="N344">
        <v>198</v>
      </c>
      <c r="O344">
        <v>251</v>
      </c>
      <c r="P344" s="3" t="str" cm="1">
        <f t="array" ref="P344">_xlfn.XLOOKUP(A344&amp;B344,'[1]Daily Sleep'!$A$2:$A$468&amp;'[1]Daily Sleep'!$B$2:$B$468,'[1]Daily Sleep'!$D$2:$D$468,"")</f>
        <v/>
      </c>
    </row>
    <row r="345" spans="1:16" x14ac:dyDescent="0.35">
      <c r="A345">
        <v>6775888955</v>
      </c>
      <c r="B345" s="1">
        <v>42461</v>
      </c>
      <c r="C345">
        <v>7225</v>
      </c>
      <c r="D345">
        <v>5.1799998283386204</v>
      </c>
      <c r="E345">
        <v>5.1799998283386204</v>
      </c>
      <c r="F345">
        <v>0</v>
      </c>
      <c r="G345">
        <v>1.7300000190734901</v>
      </c>
      <c r="H345">
        <v>1.2699999809265099</v>
      </c>
      <c r="I345">
        <v>2.1800000667571999</v>
      </c>
      <c r="J345">
        <v>0</v>
      </c>
      <c r="K345">
        <v>25</v>
      </c>
      <c r="L345">
        <v>50</v>
      </c>
      <c r="M345">
        <v>163</v>
      </c>
      <c r="N345">
        <v>1189</v>
      </c>
      <c r="O345">
        <v>3065</v>
      </c>
      <c r="P345" s="3" cm="1">
        <f t="array" ref="P345">_xlfn.XLOOKUP(A345&amp;B345,'[1]Daily Sleep'!$A$2:$A$468&amp;'[1]Daily Sleep'!$B$2:$B$468,'[1]Daily Sleep'!$D$2:$D$468,"")</f>
        <v>0.16666666666666666</v>
      </c>
    </row>
    <row r="346" spans="1:16" x14ac:dyDescent="0.35">
      <c r="A346">
        <v>6775888955</v>
      </c>
      <c r="B346" s="1">
        <v>42462</v>
      </c>
      <c r="C346">
        <v>1988</v>
      </c>
      <c r="D346">
        <v>1.4299999475479099</v>
      </c>
      <c r="E346">
        <v>1.4299999475479099</v>
      </c>
      <c r="F346">
        <v>0</v>
      </c>
      <c r="G346">
        <v>0</v>
      </c>
      <c r="H346">
        <v>0</v>
      </c>
      <c r="I346">
        <v>1.4299999475479099</v>
      </c>
      <c r="J346">
        <v>0</v>
      </c>
      <c r="K346">
        <v>0</v>
      </c>
      <c r="L346">
        <v>0</v>
      </c>
      <c r="M346">
        <v>79</v>
      </c>
      <c r="N346">
        <v>909</v>
      </c>
      <c r="O346">
        <v>2207</v>
      </c>
      <c r="P346" s="3" cm="1">
        <f t="array" ref="P346">_xlfn.XLOOKUP(A346&amp;B346,'[1]Daily Sleep'!$A$2:$A$468&amp;'[1]Daily Sleep'!$B$2:$B$468,'[1]Daily Sleep'!$D$2:$D$468,"")</f>
        <v>7.15</v>
      </c>
    </row>
    <row r="347" spans="1:16" x14ac:dyDescent="0.35">
      <c r="A347">
        <v>6775888955</v>
      </c>
      <c r="B347" s="1">
        <v>42463</v>
      </c>
      <c r="C347">
        <v>1577</v>
      </c>
      <c r="D347">
        <v>1.12999999523163</v>
      </c>
      <c r="E347">
        <v>1.12999999523163</v>
      </c>
      <c r="F347">
        <v>0</v>
      </c>
      <c r="G347">
        <v>7.0000000298023196E-2</v>
      </c>
      <c r="H347">
        <v>0.88999998569488503</v>
      </c>
      <c r="I347">
        <v>0.17000000178813901</v>
      </c>
      <c r="J347">
        <v>0</v>
      </c>
      <c r="K347">
        <v>1</v>
      </c>
      <c r="L347">
        <v>17</v>
      </c>
      <c r="M347">
        <v>8</v>
      </c>
      <c r="N347">
        <v>1414</v>
      </c>
      <c r="O347">
        <v>1977</v>
      </c>
      <c r="P347" s="3" t="str" cm="1">
        <f t="array" ref="P347">_xlfn.XLOOKUP(A347&amp;B347,'[1]Daily Sleep'!$A$2:$A$468&amp;'[1]Daily Sleep'!$B$2:$B$468,'[1]Daily Sleep'!$D$2:$D$468,"")</f>
        <v/>
      </c>
    </row>
    <row r="348" spans="1:16" x14ac:dyDescent="0.35">
      <c r="A348">
        <v>6775888955</v>
      </c>
      <c r="B348" s="1">
        <v>42464</v>
      </c>
      <c r="C348">
        <v>0</v>
      </c>
      <c r="D348">
        <v>0</v>
      </c>
      <c r="E348">
        <v>0</v>
      </c>
      <c r="F348">
        <v>0</v>
      </c>
      <c r="G348">
        <v>0</v>
      </c>
      <c r="H348">
        <v>0</v>
      </c>
      <c r="I348">
        <v>0</v>
      </c>
      <c r="J348">
        <v>0</v>
      </c>
      <c r="K348">
        <v>0</v>
      </c>
      <c r="L348">
        <v>0</v>
      </c>
      <c r="M348">
        <v>0</v>
      </c>
      <c r="N348">
        <v>1440</v>
      </c>
      <c r="O348">
        <v>1841</v>
      </c>
      <c r="P348" s="3" t="str" cm="1">
        <f t="array" ref="P348">_xlfn.XLOOKUP(A348&amp;B348,'[1]Daily Sleep'!$A$2:$A$468&amp;'[1]Daily Sleep'!$B$2:$B$468,'[1]Daily Sleep'!$D$2:$D$468,"")</f>
        <v/>
      </c>
    </row>
    <row r="349" spans="1:16" x14ac:dyDescent="0.35">
      <c r="A349">
        <v>6775888955</v>
      </c>
      <c r="B349" s="1">
        <v>42465</v>
      </c>
      <c r="C349">
        <v>9348</v>
      </c>
      <c r="D349">
        <v>6.6999998092651403</v>
      </c>
      <c r="E349">
        <v>6.6999998092651403</v>
      </c>
      <c r="F349">
        <v>0</v>
      </c>
      <c r="G349">
        <v>1.12999999523163</v>
      </c>
      <c r="H349">
        <v>2.03999996185303</v>
      </c>
      <c r="I349">
        <v>3.1400001049041699</v>
      </c>
      <c r="J349">
        <v>0</v>
      </c>
      <c r="K349">
        <v>56</v>
      </c>
      <c r="L349">
        <v>133</v>
      </c>
      <c r="M349">
        <v>240</v>
      </c>
      <c r="N349">
        <v>1011</v>
      </c>
      <c r="O349">
        <v>4286</v>
      </c>
      <c r="P349" s="3" t="str" cm="1">
        <f t="array" ref="P349">_xlfn.XLOOKUP(A349&amp;B349,'[1]Daily Sleep'!$A$2:$A$468&amp;'[1]Daily Sleep'!$B$2:$B$468,'[1]Daily Sleep'!$D$2:$D$468,"")</f>
        <v/>
      </c>
    </row>
    <row r="350" spans="1:16" x14ac:dyDescent="0.35">
      <c r="A350">
        <v>6775888955</v>
      </c>
      <c r="B350" s="1">
        <v>42466</v>
      </c>
      <c r="C350">
        <v>11761</v>
      </c>
      <c r="D350">
        <v>8.4300003051757795</v>
      </c>
      <c r="E350">
        <v>8.4300003051757795</v>
      </c>
      <c r="F350">
        <v>0</v>
      </c>
      <c r="G350">
        <v>1.3099999427795399</v>
      </c>
      <c r="H350">
        <v>2.4400000572204599</v>
      </c>
      <c r="I350">
        <v>4.6799998283386204</v>
      </c>
      <c r="J350">
        <v>0</v>
      </c>
      <c r="K350">
        <v>24</v>
      </c>
      <c r="L350">
        <v>99</v>
      </c>
      <c r="M350">
        <v>300</v>
      </c>
      <c r="N350">
        <v>550</v>
      </c>
      <c r="O350">
        <v>3920</v>
      </c>
      <c r="P350" s="3" cm="1">
        <f t="array" ref="P350">_xlfn.XLOOKUP(A350&amp;B350,'[1]Daily Sleep'!$A$2:$A$468&amp;'[1]Daily Sleep'!$B$2:$B$468,'[1]Daily Sleep'!$D$2:$D$468,"")</f>
        <v>7.35</v>
      </c>
    </row>
    <row r="351" spans="1:16" x14ac:dyDescent="0.35">
      <c r="A351">
        <v>6775888955</v>
      </c>
      <c r="B351" s="1">
        <v>42467</v>
      </c>
      <c r="C351">
        <v>13987</v>
      </c>
      <c r="D351">
        <v>10.0299997329712</v>
      </c>
      <c r="E351">
        <v>10.0299997329712</v>
      </c>
      <c r="F351">
        <v>0</v>
      </c>
      <c r="G351">
        <v>2.8699998855590798</v>
      </c>
      <c r="H351">
        <v>3.3399999141693102</v>
      </c>
      <c r="I351">
        <v>3.8199999332428001</v>
      </c>
      <c r="J351">
        <v>0</v>
      </c>
      <c r="K351">
        <v>46</v>
      </c>
      <c r="L351">
        <v>114</v>
      </c>
      <c r="M351">
        <v>250</v>
      </c>
      <c r="N351">
        <v>739</v>
      </c>
      <c r="O351">
        <v>3856</v>
      </c>
      <c r="P351" s="3" cm="1">
        <f t="array" ref="P351">_xlfn.XLOOKUP(A351&amp;B351,'[1]Daily Sleep'!$A$2:$A$468&amp;'[1]Daily Sleep'!$B$2:$B$468,'[1]Daily Sleep'!$D$2:$D$468,"")</f>
        <v>4.583333333333333</v>
      </c>
    </row>
    <row r="352" spans="1:16" x14ac:dyDescent="0.35">
      <c r="A352">
        <v>6775888955</v>
      </c>
      <c r="B352" s="1">
        <v>42468</v>
      </c>
      <c r="C352">
        <v>4131</v>
      </c>
      <c r="D352">
        <v>2.96000003814697</v>
      </c>
      <c r="E352">
        <v>2.96000003814697</v>
      </c>
      <c r="F352">
        <v>0</v>
      </c>
      <c r="G352">
        <v>1.37000000476837</v>
      </c>
      <c r="H352">
        <v>0.61000001430511497</v>
      </c>
      <c r="I352">
        <v>0.980000019073486</v>
      </c>
      <c r="J352">
        <v>0</v>
      </c>
      <c r="K352">
        <v>27</v>
      </c>
      <c r="L352">
        <v>30</v>
      </c>
      <c r="M352">
        <v>75</v>
      </c>
      <c r="N352">
        <v>1308</v>
      </c>
      <c r="O352">
        <v>2584</v>
      </c>
      <c r="P352" s="3" t="str" cm="1">
        <f t="array" ref="P352">_xlfn.XLOOKUP(A352&amp;B352,'[1]Daily Sleep'!$A$2:$A$468&amp;'[1]Daily Sleep'!$B$2:$B$468,'[1]Daily Sleep'!$D$2:$D$468,"")</f>
        <v/>
      </c>
    </row>
    <row r="353" spans="1:16" x14ac:dyDescent="0.35">
      <c r="A353">
        <v>6775888955</v>
      </c>
      <c r="B353" s="1">
        <v>42469</v>
      </c>
      <c r="C353">
        <v>14</v>
      </c>
      <c r="D353">
        <v>9.9999997764825804E-3</v>
      </c>
      <c r="E353">
        <v>9.9999997764825804E-3</v>
      </c>
      <c r="F353">
        <v>0</v>
      </c>
      <c r="G353">
        <v>0</v>
      </c>
      <c r="H353">
        <v>0</v>
      </c>
      <c r="I353">
        <v>9.9999997764825804E-3</v>
      </c>
      <c r="J353">
        <v>0</v>
      </c>
      <c r="K353">
        <v>0</v>
      </c>
      <c r="L353">
        <v>0</v>
      </c>
      <c r="M353">
        <v>1</v>
      </c>
      <c r="N353">
        <v>601</v>
      </c>
      <c r="O353">
        <v>787</v>
      </c>
      <c r="P353" s="3" t="str" cm="1">
        <f t="array" ref="P353">_xlfn.XLOOKUP(A353&amp;B353,'[1]Daily Sleep'!$A$2:$A$468&amp;'[1]Daily Sleep'!$B$2:$B$468,'[1]Daily Sleep'!$D$2:$D$468,"")</f>
        <v/>
      </c>
    </row>
    <row r="354" spans="1:16" x14ac:dyDescent="0.35">
      <c r="A354">
        <v>6962181067</v>
      </c>
      <c r="B354" s="1">
        <v>42459</v>
      </c>
      <c r="C354">
        <v>15491</v>
      </c>
      <c r="D354">
        <v>10.2399997711182</v>
      </c>
      <c r="E354">
        <v>10.2399997711182</v>
      </c>
      <c r="F354">
        <v>0</v>
      </c>
      <c r="G354">
        <v>1.28999996185303</v>
      </c>
      <c r="H354">
        <v>4.4899997711181596</v>
      </c>
      <c r="I354">
        <v>4.46000003814697</v>
      </c>
      <c r="J354">
        <v>0</v>
      </c>
      <c r="K354">
        <v>18</v>
      </c>
      <c r="L354">
        <v>77</v>
      </c>
      <c r="M354">
        <v>272</v>
      </c>
      <c r="N354">
        <v>641</v>
      </c>
      <c r="O354">
        <v>2244</v>
      </c>
      <c r="P354" s="3" cm="1">
        <f t="array" ref="P354">_xlfn.XLOOKUP(A354&amp;B354,'[1]Daily Sleep'!$A$2:$A$468&amp;'[1]Daily Sleep'!$B$2:$B$468,'[1]Daily Sleep'!$D$2:$D$468,"")</f>
        <v>6.9666666666666668</v>
      </c>
    </row>
    <row r="355" spans="1:16" x14ac:dyDescent="0.35">
      <c r="A355">
        <v>6962181067</v>
      </c>
      <c r="B355" s="1">
        <v>42460</v>
      </c>
      <c r="C355">
        <v>14097</v>
      </c>
      <c r="D355">
        <v>9.3199996948242205</v>
      </c>
      <c r="E355">
        <v>9.3199996948242205</v>
      </c>
      <c r="F355">
        <v>0</v>
      </c>
      <c r="G355">
        <v>3.5</v>
      </c>
      <c r="H355">
        <v>1.91999995708466</v>
      </c>
      <c r="I355">
        <v>3.9000000953674299</v>
      </c>
      <c r="J355">
        <v>0</v>
      </c>
      <c r="K355">
        <v>50</v>
      </c>
      <c r="L355">
        <v>32</v>
      </c>
      <c r="M355">
        <v>234</v>
      </c>
      <c r="N355">
        <v>595</v>
      </c>
      <c r="O355">
        <v>2188</v>
      </c>
      <c r="P355" s="3" cm="1">
        <f t="array" ref="P355">_xlfn.XLOOKUP(A355&amp;B355,'[1]Daily Sleep'!$A$2:$A$468&amp;'[1]Daily Sleep'!$B$2:$B$468,'[1]Daily Sleep'!$D$2:$D$468,"")</f>
        <v>8.4833333333333325</v>
      </c>
    </row>
    <row r="356" spans="1:16" x14ac:dyDescent="0.35">
      <c r="A356">
        <v>6962181067</v>
      </c>
      <c r="B356" s="1">
        <v>42461</v>
      </c>
      <c r="C356">
        <v>10467</v>
      </c>
      <c r="D356">
        <v>6.9800000190734899</v>
      </c>
      <c r="E356">
        <v>6.9800000190734899</v>
      </c>
      <c r="F356">
        <v>0</v>
      </c>
      <c r="G356">
        <v>0.69999998807907104</v>
      </c>
      <c r="H356">
        <v>2.4300000667571999</v>
      </c>
      <c r="I356">
        <v>3.8499999046325701</v>
      </c>
      <c r="J356">
        <v>0</v>
      </c>
      <c r="K356">
        <v>9</v>
      </c>
      <c r="L356">
        <v>45</v>
      </c>
      <c r="M356">
        <v>252</v>
      </c>
      <c r="N356">
        <v>602</v>
      </c>
      <c r="O356">
        <v>2014</v>
      </c>
      <c r="P356" s="3" cm="1">
        <f t="array" ref="P356">_xlfn.XLOOKUP(A356&amp;B356,'[1]Daily Sleep'!$A$2:$A$468&amp;'[1]Daily Sleep'!$B$2:$B$468,'[1]Daily Sleep'!$D$2:$D$468,"")</f>
        <v>8.7833333333333332</v>
      </c>
    </row>
    <row r="357" spans="1:16" x14ac:dyDescent="0.35">
      <c r="A357">
        <v>6962181067</v>
      </c>
      <c r="B357" s="1">
        <v>42462</v>
      </c>
      <c r="C357">
        <v>12437</v>
      </c>
      <c r="D357">
        <v>8.3000001907348597</v>
      </c>
      <c r="E357">
        <v>8.3000001907348597</v>
      </c>
      <c r="F357">
        <v>0</v>
      </c>
      <c r="G357">
        <v>3.7599999904632599</v>
      </c>
      <c r="H357">
        <v>1.28999996185303</v>
      </c>
      <c r="I357">
        <v>3.2400000095367401</v>
      </c>
      <c r="J357">
        <v>0</v>
      </c>
      <c r="K357">
        <v>50</v>
      </c>
      <c r="L357">
        <v>24</v>
      </c>
      <c r="M357">
        <v>219</v>
      </c>
      <c r="N357">
        <v>732</v>
      </c>
      <c r="O357">
        <v>2115</v>
      </c>
      <c r="P357" s="3" cm="1">
        <f t="array" ref="P357">_xlfn.XLOOKUP(A357&amp;B357,'[1]Daily Sleep'!$A$2:$A$468&amp;'[1]Daily Sleep'!$B$2:$B$468,'[1]Daily Sleep'!$D$2:$D$468,"")</f>
        <v>6.65</v>
      </c>
    </row>
    <row r="358" spans="1:16" x14ac:dyDescent="0.35">
      <c r="A358">
        <v>6962181067</v>
      </c>
      <c r="B358" s="1">
        <v>42463</v>
      </c>
      <c r="C358">
        <v>12307</v>
      </c>
      <c r="D358">
        <v>8.1400003433227504</v>
      </c>
      <c r="E358">
        <v>8.1400003433227504</v>
      </c>
      <c r="F358">
        <v>0</v>
      </c>
      <c r="G358">
        <v>1.0099999904632599</v>
      </c>
      <c r="H358">
        <v>3.2599999904632599</v>
      </c>
      <c r="I358">
        <v>3.8699998855590798</v>
      </c>
      <c r="J358">
        <v>0</v>
      </c>
      <c r="K358">
        <v>14</v>
      </c>
      <c r="L358">
        <v>51</v>
      </c>
      <c r="M358">
        <v>218</v>
      </c>
      <c r="N358">
        <v>589</v>
      </c>
      <c r="O358">
        <v>2055</v>
      </c>
      <c r="P358" s="3" cm="1">
        <f t="array" ref="P358">_xlfn.XLOOKUP(A358&amp;B358,'[1]Daily Sleep'!$A$2:$A$468&amp;'[1]Daily Sleep'!$B$2:$B$468,'[1]Daily Sleep'!$D$2:$D$468,"")</f>
        <v>8.9499999999999993</v>
      </c>
    </row>
    <row r="359" spans="1:16" x14ac:dyDescent="0.35">
      <c r="A359">
        <v>6962181067</v>
      </c>
      <c r="B359" s="1">
        <v>42464</v>
      </c>
      <c r="C359">
        <v>18952</v>
      </c>
      <c r="D359">
        <v>12.800000190734901</v>
      </c>
      <c r="E359">
        <v>12.800000190734901</v>
      </c>
      <c r="F359">
        <v>0</v>
      </c>
      <c r="G359">
        <v>5.9099998474121103</v>
      </c>
      <c r="H359">
        <v>1.2300000190734901</v>
      </c>
      <c r="I359">
        <v>5.6599998474121103</v>
      </c>
      <c r="J359">
        <v>0</v>
      </c>
      <c r="K359">
        <v>73</v>
      </c>
      <c r="L359">
        <v>20</v>
      </c>
      <c r="M359">
        <v>327</v>
      </c>
      <c r="N359">
        <v>570</v>
      </c>
      <c r="O359">
        <v>2437</v>
      </c>
      <c r="P359" s="3" cm="1">
        <f t="array" ref="P359">_xlfn.XLOOKUP(A359&amp;B359,'[1]Daily Sleep'!$A$2:$A$468&amp;'[1]Daily Sleep'!$B$2:$B$468,'[1]Daily Sleep'!$D$2:$D$468,"")</f>
        <v>6.05</v>
      </c>
    </row>
    <row r="360" spans="1:16" x14ac:dyDescent="0.35">
      <c r="A360">
        <v>6962181067</v>
      </c>
      <c r="B360" s="1">
        <v>42465</v>
      </c>
      <c r="C360">
        <v>12010</v>
      </c>
      <c r="D360">
        <v>7.9400000572204599</v>
      </c>
      <c r="E360">
        <v>7.9400000572204599</v>
      </c>
      <c r="F360">
        <v>0</v>
      </c>
      <c r="G360">
        <v>2.3800001144409202</v>
      </c>
      <c r="H360">
        <v>0.94999998807907104</v>
      </c>
      <c r="I360">
        <v>4.6100001335143999</v>
      </c>
      <c r="J360">
        <v>0</v>
      </c>
      <c r="K360">
        <v>38</v>
      </c>
      <c r="L360">
        <v>17</v>
      </c>
      <c r="M360">
        <v>287</v>
      </c>
      <c r="N360">
        <v>692</v>
      </c>
      <c r="O360">
        <v>2158</v>
      </c>
      <c r="P360" s="3" cm="1">
        <f t="array" ref="P360">_xlfn.XLOOKUP(A360&amp;B360,'[1]Daily Sleep'!$A$2:$A$468&amp;'[1]Daily Sleep'!$B$2:$B$468,'[1]Daily Sleep'!$D$2:$D$468,"")</f>
        <v>5.9666666666666668</v>
      </c>
    </row>
    <row r="361" spans="1:16" x14ac:dyDescent="0.35">
      <c r="A361">
        <v>6962181067</v>
      </c>
      <c r="B361" s="1">
        <v>42466</v>
      </c>
      <c r="C361">
        <v>12480</v>
      </c>
      <c r="D361">
        <v>8.8599996566772496</v>
      </c>
      <c r="E361">
        <v>8.25</v>
      </c>
      <c r="F361">
        <v>3.9727950096130402</v>
      </c>
      <c r="G361">
        <v>4.1799998283386204</v>
      </c>
      <c r="H361">
        <v>0.68999999761581399</v>
      </c>
      <c r="I361">
        <v>4</v>
      </c>
      <c r="J361">
        <v>0</v>
      </c>
      <c r="K361">
        <v>55</v>
      </c>
      <c r="L361">
        <v>14</v>
      </c>
      <c r="M361">
        <v>276</v>
      </c>
      <c r="N361">
        <v>593</v>
      </c>
      <c r="O361">
        <v>2170</v>
      </c>
      <c r="P361" s="3" cm="1">
        <f t="array" ref="P361">_xlfn.XLOOKUP(A361&amp;B361,'[1]Daily Sleep'!$A$2:$A$468&amp;'[1]Daily Sleep'!$B$2:$B$468,'[1]Daily Sleep'!$D$2:$D$468,"")</f>
        <v>7.9</v>
      </c>
    </row>
    <row r="362" spans="1:16" x14ac:dyDescent="0.35">
      <c r="A362">
        <v>6962181067</v>
      </c>
      <c r="B362" s="1">
        <v>42467</v>
      </c>
      <c r="C362">
        <v>13417</v>
      </c>
      <c r="D362">
        <v>9.6499996185302699</v>
      </c>
      <c r="E362">
        <v>8.8699998855590803</v>
      </c>
      <c r="F362">
        <v>1.92630195617676</v>
      </c>
      <c r="G362">
        <v>3.3900001049041699</v>
      </c>
      <c r="H362">
        <v>1.25</v>
      </c>
      <c r="I362">
        <v>4.9099998474121103</v>
      </c>
      <c r="J362">
        <v>0.10000000149011599</v>
      </c>
      <c r="K362">
        <v>45</v>
      </c>
      <c r="L362">
        <v>16</v>
      </c>
      <c r="M362">
        <v>284</v>
      </c>
      <c r="N362">
        <v>665</v>
      </c>
      <c r="O362">
        <v>2244</v>
      </c>
      <c r="P362" s="3" cm="1">
        <f t="array" ref="P362">_xlfn.XLOOKUP(A362&amp;B362,'[1]Daily Sleep'!$A$2:$A$468&amp;'[1]Daily Sleep'!$B$2:$B$468,'[1]Daily Sleep'!$D$2:$D$468,"")</f>
        <v>7.05</v>
      </c>
    </row>
    <row r="363" spans="1:16" x14ac:dyDescent="0.35">
      <c r="A363">
        <v>6962181067</v>
      </c>
      <c r="B363" s="1">
        <v>42468</v>
      </c>
      <c r="C363">
        <v>14400</v>
      </c>
      <c r="D363">
        <v>10.8800001144409</v>
      </c>
      <c r="E363">
        <v>9.5200004577636701</v>
      </c>
      <c r="F363">
        <v>5.4568638801574698</v>
      </c>
      <c r="G363">
        <v>2.4700000286102299</v>
      </c>
      <c r="H363">
        <v>2.8800001144409202</v>
      </c>
      <c r="I363">
        <v>5.5300002098083496</v>
      </c>
      <c r="J363">
        <v>0</v>
      </c>
      <c r="K363">
        <v>27</v>
      </c>
      <c r="L363">
        <v>37</v>
      </c>
      <c r="M363">
        <v>276</v>
      </c>
      <c r="N363">
        <v>697</v>
      </c>
      <c r="O363">
        <v>2188</v>
      </c>
      <c r="P363" s="3" cm="1">
        <f t="array" ref="P363">_xlfn.XLOOKUP(A363&amp;B363,'[1]Daily Sleep'!$A$2:$A$468&amp;'[1]Daily Sleep'!$B$2:$B$468,'[1]Daily Sleep'!$D$2:$D$468,"")</f>
        <v>6.7</v>
      </c>
    </row>
    <row r="364" spans="1:16" x14ac:dyDescent="0.35">
      <c r="A364">
        <v>6962181067</v>
      </c>
      <c r="B364" s="1">
        <v>42469</v>
      </c>
      <c r="C364">
        <v>12495</v>
      </c>
      <c r="D364">
        <v>8.2600002288818395</v>
      </c>
      <c r="E364">
        <v>8.2600002288818395</v>
      </c>
      <c r="F364">
        <v>0</v>
      </c>
      <c r="G364">
        <v>2.21000003814697</v>
      </c>
      <c r="H364">
        <v>1.0900000333786</v>
      </c>
      <c r="I364">
        <v>4.96000003814697</v>
      </c>
      <c r="J364">
        <v>0</v>
      </c>
      <c r="K364">
        <v>33</v>
      </c>
      <c r="L364">
        <v>19</v>
      </c>
      <c r="M364">
        <v>324</v>
      </c>
      <c r="N364">
        <v>609</v>
      </c>
      <c r="O364">
        <v>2231</v>
      </c>
      <c r="P364" s="3" cm="1">
        <f t="array" ref="P364">_xlfn.XLOOKUP(A364&amp;B364,'[1]Daily Sleep'!$A$2:$A$468&amp;'[1]Daily Sleep'!$B$2:$B$468,'[1]Daily Sleep'!$D$2:$D$468,"")</f>
        <v>7.2333333333333334</v>
      </c>
    </row>
    <row r="365" spans="1:16" x14ac:dyDescent="0.35">
      <c r="A365">
        <v>6962181067</v>
      </c>
      <c r="B365" s="1">
        <v>42470</v>
      </c>
      <c r="C365">
        <v>10148</v>
      </c>
      <c r="D365">
        <v>6.71000003814697</v>
      </c>
      <c r="E365">
        <v>6.71000003814697</v>
      </c>
      <c r="F365">
        <v>0</v>
      </c>
      <c r="G365">
        <v>1.3600000143051101</v>
      </c>
      <c r="H365">
        <v>0.21999999880790699</v>
      </c>
      <c r="I365">
        <v>5.1300001144409197</v>
      </c>
      <c r="J365">
        <v>0</v>
      </c>
      <c r="K365">
        <v>19</v>
      </c>
      <c r="L365">
        <v>7</v>
      </c>
      <c r="M365">
        <v>306</v>
      </c>
      <c r="N365">
        <v>679</v>
      </c>
      <c r="O365">
        <v>2100</v>
      </c>
      <c r="P365" s="3" cm="1">
        <f t="array" ref="P365">_xlfn.XLOOKUP(A365&amp;B365,'[1]Daily Sleep'!$A$2:$A$468&amp;'[1]Daily Sleep'!$B$2:$B$468,'[1]Daily Sleep'!$D$2:$D$468,"")</f>
        <v>6.9</v>
      </c>
    </row>
    <row r="366" spans="1:16" x14ac:dyDescent="0.35">
      <c r="A366">
        <v>6962181067</v>
      </c>
      <c r="B366" s="1">
        <v>42471</v>
      </c>
      <c r="C366">
        <v>12362</v>
      </c>
      <c r="D366">
        <v>9.0900001525878906</v>
      </c>
      <c r="E366">
        <v>8.1700000762939506</v>
      </c>
      <c r="F366">
        <v>2.6964550018310498</v>
      </c>
      <c r="G366">
        <v>1.0900000333786</v>
      </c>
      <c r="H366">
        <v>2.7300000190734899</v>
      </c>
      <c r="I366">
        <v>5.2699999809265101</v>
      </c>
      <c r="J366">
        <v>0</v>
      </c>
      <c r="K366">
        <v>21</v>
      </c>
      <c r="L366">
        <v>38</v>
      </c>
      <c r="M366">
        <v>297</v>
      </c>
      <c r="N366">
        <v>678</v>
      </c>
      <c r="O366">
        <v>2188</v>
      </c>
      <c r="P366" s="3" cm="1">
        <f t="array" ref="P366">_xlfn.XLOOKUP(A366&amp;B366,'[1]Daily Sleep'!$A$2:$A$468&amp;'[1]Daily Sleep'!$B$2:$B$468,'[1]Daily Sleep'!$D$2:$D$468,"")</f>
        <v>6.55</v>
      </c>
    </row>
    <row r="367" spans="1:16" x14ac:dyDescent="0.35">
      <c r="A367">
        <v>6962181067</v>
      </c>
      <c r="B367" s="1">
        <v>42472</v>
      </c>
      <c r="C367">
        <v>5893</v>
      </c>
      <c r="D367">
        <v>3.9000000953674299</v>
      </c>
      <c r="E367">
        <v>3.9000000953674299</v>
      </c>
      <c r="F367">
        <v>0</v>
      </c>
      <c r="G367">
        <v>2.8800001144409202</v>
      </c>
      <c r="H367">
        <v>0.56000000238418601</v>
      </c>
      <c r="I367">
        <v>0.46000000834464999</v>
      </c>
      <c r="J367">
        <v>0</v>
      </c>
      <c r="K367">
        <v>43</v>
      </c>
      <c r="L367">
        <v>9</v>
      </c>
      <c r="M367">
        <v>48</v>
      </c>
      <c r="N367">
        <v>146</v>
      </c>
      <c r="O367">
        <v>917</v>
      </c>
      <c r="P367" s="3" cm="1">
        <f t="array" ref="P367">_xlfn.XLOOKUP(A367&amp;B367,'[1]Daily Sleep'!$A$2:$A$468&amp;'[1]Daily Sleep'!$B$2:$B$468,'[1]Daily Sleep'!$D$2:$D$468,"")</f>
        <v>6.1</v>
      </c>
    </row>
    <row r="368" spans="1:16" x14ac:dyDescent="0.35">
      <c r="A368">
        <v>7007744171</v>
      </c>
      <c r="B368" s="1">
        <v>42461</v>
      </c>
      <c r="C368">
        <v>11680</v>
      </c>
      <c r="D368">
        <v>9.0600004196166992</v>
      </c>
      <c r="E368">
        <v>7.8099999427795401</v>
      </c>
      <c r="F368">
        <v>4.9012827873229998</v>
      </c>
      <c r="G368">
        <v>4.4899997711181596</v>
      </c>
      <c r="H368">
        <v>0.33000001311302202</v>
      </c>
      <c r="I368">
        <v>4.2399997711181596</v>
      </c>
      <c r="J368">
        <v>0</v>
      </c>
      <c r="K368">
        <v>50</v>
      </c>
      <c r="L368">
        <v>7</v>
      </c>
      <c r="M368">
        <v>244</v>
      </c>
      <c r="N368">
        <v>1139</v>
      </c>
      <c r="O368">
        <v>2573</v>
      </c>
      <c r="P368" s="3" t="str" cm="1">
        <f t="array" ref="P368">_xlfn.XLOOKUP(A368&amp;B368,'[1]Daily Sleep'!$A$2:$A$468&amp;'[1]Daily Sleep'!$B$2:$B$468,'[1]Daily Sleep'!$D$2:$D$468,"")</f>
        <v/>
      </c>
    </row>
    <row r="369" spans="1:16" x14ac:dyDescent="0.35">
      <c r="A369">
        <v>7007744171</v>
      </c>
      <c r="B369" s="1">
        <v>42462</v>
      </c>
      <c r="C369">
        <v>10976</v>
      </c>
      <c r="D369">
        <v>7.3400001525878897</v>
      </c>
      <c r="E369">
        <v>7.3400001525878897</v>
      </c>
      <c r="F369">
        <v>0</v>
      </c>
      <c r="G369">
        <v>0.55000001192092896</v>
      </c>
      <c r="H369">
        <v>0.67000001668930098</v>
      </c>
      <c r="I369">
        <v>6.1300001144409197</v>
      </c>
      <c r="J369">
        <v>0</v>
      </c>
      <c r="K369">
        <v>9</v>
      </c>
      <c r="L369">
        <v>16</v>
      </c>
      <c r="M369">
        <v>271</v>
      </c>
      <c r="N369">
        <v>1075</v>
      </c>
      <c r="O369">
        <v>2575</v>
      </c>
      <c r="P369" s="3" cm="1">
        <f t="array" ref="P369">_xlfn.XLOOKUP(A369&amp;B369,'[1]Daily Sleep'!$A$2:$A$468&amp;'[1]Daily Sleep'!$B$2:$B$468,'[1]Daily Sleep'!$D$2:$D$468,"")</f>
        <v>0.93333333333333335</v>
      </c>
    </row>
    <row r="370" spans="1:16" x14ac:dyDescent="0.35">
      <c r="A370">
        <v>7007744171</v>
      </c>
      <c r="B370" s="1">
        <v>42463</v>
      </c>
      <c r="C370">
        <v>16806</v>
      </c>
      <c r="D370">
        <v>11.2399997711182</v>
      </c>
      <c r="E370">
        <v>11.2399997711182</v>
      </c>
      <c r="F370">
        <v>0</v>
      </c>
      <c r="G370">
        <v>6.4099998474121103</v>
      </c>
      <c r="H370">
        <v>1.37000000476837</v>
      </c>
      <c r="I370">
        <v>3.4700000286102299</v>
      </c>
      <c r="J370">
        <v>0</v>
      </c>
      <c r="K370">
        <v>104</v>
      </c>
      <c r="L370">
        <v>31</v>
      </c>
      <c r="M370">
        <v>230</v>
      </c>
      <c r="N370">
        <v>1002</v>
      </c>
      <c r="O370">
        <v>3086</v>
      </c>
      <c r="P370" s="3" cm="1">
        <f t="array" ref="P370">_xlfn.XLOOKUP(A370&amp;B370,'[1]Daily Sleep'!$A$2:$A$468&amp;'[1]Daily Sleep'!$B$2:$B$468,'[1]Daily Sleep'!$D$2:$D$468,"")</f>
        <v>1.1666666666666667</v>
      </c>
    </row>
    <row r="371" spans="1:16" x14ac:dyDescent="0.35">
      <c r="A371">
        <v>7007744171</v>
      </c>
      <c r="B371" s="1">
        <v>42464</v>
      </c>
      <c r="C371">
        <v>15266</v>
      </c>
      <c r="D371">
        <v>11.3999996185303</v>
      </c>
      <c r="E371">
        <v>10.210000038146999</v>
      </c>
      <c r="F371">
        <v>5.1898498535156303</v>
      </c>
      <c r="G371">
        <v>5.8000001907348597</v>
      </c>
      <c r="H371">
        <v>0.75999999046325695</v>
      </c>
      <c r="I371">
        <v>4.78999996185303</v>
      </c>
      <c r="J371">
        <v>5.0000000745058101E-2</v>
      </c>
      <c r="K371">
        <v>70</v>
      </c>
      <c r="L371">
        <v>21</v>
      </c>
      <c r="M371">
        <v>292</v>
      </c>
      <c r="N371">
        <v>1057</v>
      </c>
      <c r="O371">
        <v>2886</v>
      </c>
      <c r="P371" s="3" t="str" cm="1">
        <f t="array" ref="P371">_xlfn.XLOOKUP(A371&amp;B371,'[1]Daily Sleep'!$A$2:$A$468&amp;'[1]Daily Sleep'!$B$2:$B$468,'[1]Daily Sleep'!$D$2:$D$468,"")</f>
        <v/>
      </c>
    </row>
    <row r="372" spans="1:16" x14ac:dyDescent="0.35">
      <c r="A372">
        <v>7007744171</v>
      </c>
      <c r="B372" s="1">
        <v>42465</v>
      </c>
      <c r="C372">
        <v>12084</v>
      </c>
      <c r="D372">
        <v>9.1400003433227504</v>
      </c>
      <c r="E372">
        <v>8.0799999237060494</v>
      </c>
      <c r="F372">
        <v>4.8363800048828098</v>
      </c>
      <c r="G372">
        <v>4.3899998664856001</v>
      </c>
      <c r="H372">
        <v>0.46000000834464999</v>
      </c>
      <c r="I372">
        <v>4.28999996185303</v>
      </c>
      <c r="J372">
        <v>0</v>
      </c>
      <c r="K372">
        <v>50</v>
      </c>
      <c r="L372">
        <v>6</v>
      </c>
      <c r="M372">
        <v>284</v>
      </c>
      <c r="N372">
        <v>1030</v>
      </c>
      <c r="O372">
        <v>2676</v>
      </c>
      <c r="P372" s="3" cm="1">
        <f t="array" ref="P372">_xlfn.XLOOKUP(A372&amp;B372,'[1]Daily Sleep'!$A$2:$A$468&amp;'[1]Daily Sleep'!$B$2:$B$468,'[1]Daily Sleep'!$D$2:$D$468,"")</f>
        <v>1.1000000000000001</v>
      </c>
    </row>
    <row r="373" spans="1:16" x14ac:dyDescent="0.35">
      <c r="A373">
        <v>7007744171</v>
      </c>
      <c r="B373" s="1">
        <v>42466</v>
      </c>
      <c r="C373">
        <v>13513</v>
      </c>
      <c r="D373">
        <v>10.25</v>
      </c>
      <c r="E373">
        <v>9.0699996948242205</v>
      </c>
      <c r="F373">
        <v>4.8357200622558603</v>
      </c>
      <c r="G373">
        <v>5.3499999046325701</v>
      </c>
      <c r="H373">
        <v>0.33000001311302202</v>
      </c>
      <c r="I373">
        <v>4.5599999427795401</v>
      </c>
      <c r="J373">
        <v>0</v>
      </c>
      <c r="K373">
        <v>64</v>
      </c>
      <c r="L373">
        <v>8</v>
      </c>
      <c r="M373">
        <v>270</v>
      </c>
      <c r="N373">
        <v>1098</v>
      </c>
      <c r="O373">
        <v>2811</v>
      </c>
      <c r="P373" s="3" t="str" cm="1">
        <f t="array" ref="P373">_xlfn.XLOOKUP(A373&amp;B373,'[1]Daily Sleep'!$A$2:$A$468&amp;'[1]Daily Sleep'!$B$2:$B$468,'[1]Daily Sleep'!$D$2:$D$468,"")</f>
        <v/>
      </c>
    </row>
    <row r="374" spans="1:16" x14ac:dyDescent="0.35">
      <c r="A374">
        <v>7007744171</v>
      </c>
      <c r="B374" s="1">
        <v>42467</v>
      </c>
      <c r="C374">
        <v>14100</v>
      </c>
      <c r="D374">
        <v>10.579999923706101</v>
      </c>
      <c r="E374">
        <v>9.4300003051757795</v>
      </c>
      <c r="F374">
        <v>4.8759899139404297</v>
      </c>
      <c r="G374">
        <v>5.0999999046325701</v>
      </c>
      <c r="H374">
        <v>1.1900000572204601</v>
      </c>
      <c r="I374">
        <v>4.2800002098083496</v>
      </c>
      <c r="J374">
        <v>0</v>
      </c>
      <c r="K374">
        <v>61</v>
      </c>
      <c r="L374">
        <v>33</v>
      </c>
      <c r="M374">
        <v>265</v>
      </c>
      <c r="N374">
        <v>1015</v>
      </c>
      <c r="O374">
        <v>2840</v>
      </c>
      <c r="P374" s="3" cm="1">
        <f t="array" ref="P374">_xlfn.XLOOKUP(A374&amp;B374,'[1]Daily Sleep'!$A$2:$A$468&amp;'[1]Daily Sleep'!$B$2:$B$468,'[1]Daily Sleep'!$D$2:$D$468,"")</f>
        <v>1.05</v>
      </c>
    </row>
    <row r="375" spans="1:16" x14ac:dyDescent="0.35">
      <c r="A375">
        <v>7007744171</v>
      </c>
      <c r="B375" s="1">
        <v>42468</v>
      </c>
      <c r="C375">
        <v>12627</v>
      </c>
      <c r="D375">
        <v>9.6499996185302699</v>
      </c>
      <c r="E375">
        <v>8.4499998092651403</v>
      </c>
      <c r="F375">
        <v>4.8423199653625497</v>
      </c>
      <c r="G375">
        <v>4.6999998092651403</v>
      </c>
      <c r="H375">
        <v>0.74000000953674305</v>
      </c>
      <c r="I375">
        <v>4.21000003814697</v>
      </c>
      <c r="J375">
        <v>0</v>
      </c>
      <c r="K375">
        <v>54</v>
      </c>
      <c r="L375">
        <v>22</v>
      </c>
      <c r="M375">
        <v>301</v>
      </c>
      <c r="N375">
        <v>1063</v>
      </c>
      <c r="O375">
        <v>2871</v>
      </c>
      <c r="P375" s="3" t="str" cm="1">
        <f t="array" ref="P375">_xlfn.XLOOKUP(A375&amp;B375,'[1]Daily Sleep'!$A$2:$A$468&amp;'[1]Daily Sleep'!$B$2:$B$468,'[1]Daily Sleep'!$D$2:$D$468,"")</f>
        <v/>
      </c>
    </row>
    <row r="376" spans="1:16" x14ac:dyDescent="0.35">
      <c r="A376">
        <v>7007744171</v>
      </c>
      <c r="B376" s="1">
        <v>42469</v>
      </c>
      <c r="C376">
        <v>10345</v>
      </c>
      <c r="D376">
        <v>6.9200000762939498</v>
      </c>
      <c r="E376">
        <v>6.9200000762939498</v>
      </c>
      <c r="F376">
        <v>0</v>
      </c>
      <c r="G376">
        <v>7.0000000298023196E-2</v>
      </c>
      <c r="H376">
        <v>0.270000010728836</v>
      </c>
      <c r="I376">
        <v>6.5799999237060502</v>
      </c>
      <c r="J376">
        <v>0</v>
      </c>
      <c r="K376">
        <v>2</v>
      </c>
      <c r="L376">
        <v>6</v>
      </c>
      <c r="M376">
        <v>358</v>
      </c>
      <c r="N376">
        <v>1074</v>
      </c>
      <c r="O376">
        <v>2613</v>
      </c>
      <c r="P376" s="3" t="str" cm="1">
        <f t="array" ref="P376">_xlfn.XLOOKUP(A376&amp;B376,'[1]Daily Sleep'!$A$2:$A$468&amp;'[1]Daily Sleep'!$B$2:$B$468,'[1]Daily Sleep'!$D$2:$D$468,"")</f>
        <v/>
      </c>
    </row>
    <row r="377" spans="1:16" x14ac:dyDescent="0.35">
      <c r="A377">
        <v>7007744171</v>
      </c>
      <c r="B377" s="1">
        <v>42470</v>
      </c>
      <c r="C377">
        <v>10146</v>
      </c>
      <c r="D377">
        <v>6.78999996185303</v>
      </c>
      <c r="E377">
        <v>6.78999996185303</v>
      </c>
      <c r="F377">
        <v>0</v>
      </c>
      <c r="G377">
        <v>7.0000000298023196E-2</v>
      </c>
      <c r="H377">
        <v>0.61000001430511497</v>
      </c>
      <c r="I377">
        <v>6.1100001335143999</v>
      </c>
      <c r="J377">
        <v>0</v>
      </c>
      <c r="K377">
        <v>1</v>
      </c>
      <c r="L377">
        <v>12</v>
      </c>
      <c r="M377">
        <v>397</v>
      </c>
      <c r="N377">
        <v>1030</v>
      </c>
      <c r="O377">
        <v>2700</v>
      </c>
      <c r="P377" s="3" t="str" cm="1">
        <f t="array" ref="P377">_xlfn.XLOOKUP(A377&amp;B377,'[1]Daily Sleep'!$A$2:$A$468&amp;'[1]Daily Sleep'!$B$2:$B$468,'[1]Daily Sleep'!$D$2:$D$468,"")</f>
        <v/>
      </c>
    </row>
    <row r="378" spans="1:16" x14ac:dyDescent="0.35">
      <c r="A378">
        <v>7007744171</v>
      </c>
      <c r="B378" s="1">
        <v>42471</v>
      </c>
      <c r="C378">
        <v>12168</v>
      </c>
      <c r="D378">
        <v>8.1400003433227504</v>
      </c>
      <c r="E378">
        <v>8.1400003433227504</v>
      </c>
      <c r="F378">
        <v>0</v>
      </c>
      <c r="G378">
        <v>1.04999995231628</v>
      </c>
      <c r="H378">
        <v>0.79000002145767201</v>
      </c>
      <c r="I378">
        <v>6.28999996185303</v>
      </c>
      <c r="J378">
        <v>0</v>
      </c>
      <c r="K378">
        <v>18</v>
      </c>
      <c r="L378">
        <v>27</v>
      </c>
      <c r="M378">
        <v>375</v>
      </c>
      <c r="N378">
        <v>1020</v>
      </c>
      <c r="O378">
        <v>2871</v>
      </c>
      <c r="P378" s="3" t="str" cm="1">
        <f t="array" ref="P378">_xlfn.XLOOKUP(A378&amp;B378,'[1]Daily Sleep'!$A$2:$A$468&amp;'[1]Daily Sleep'!$B$2:$B$468,'[1]Daily Sleep'!$D$2:$D$468,"")</f>
        <v/>
      </c>
    </row>
    <row r="379" spans="1:16" x14ac:dyDescent="0.35">
      <c r="A379">
        <v>7007744171</v>
      </c>
      <c r="B379" s="1">
        <v>42472</v>
      </c>
      <c r="C379">
        <v>7413</v>
      </c>
      <c r="D379">
        <v>5.7699999809265101</v>
      </c>
      <c r="E379">
        <v>4.96000003814697</v>
      </c>
      <c r="F379">
        <v>4.8697829246520996</v>
      </c>
      <c r="G379">
        <v>4.5</v>
      </c>
      <c r="H379">
        <v>0.34000000357627902</v>
      </c>
      <c r="I379">
        <v>0.93999999761581399</v>
      </c>
      <c r="J379">
        <v>0</v>
      </c>
      <c r="K379">
        <v>53</v>
      </c>
      <c r="L379">
        <v>6</v>
      </c>
      <c r="M379">
        <v>43</v>
      </c>
      <c r="N379">
        <v>405</v>
      </c>
      <c r="O379">
        <v>1023</v>
      </c>
      <c r="P379" s="3" t="str" cm="1">
        <f t="array" ref="P379">_xlfn.XLOOKUP(A379&amp;B379,'[1]Daily Sleep'!$A$2:$A$468&amp;'[1]Daily Sleep'!$B$2:$B$468,'[1]Daily Sleep'!$D$2:$D$468,"")</f>
        <v/>
      </c>
    </row>
    <row r="380" spans="1:16" x14ac:dyDescent="0.35">
      <c r="A380">
        <v>7086361926</v>
      </c>
      <c r="B380" s="1">
        <v>42461</v>
      </c>
      <c r="C380">
        <v>11463</v>
      </c>
      <c r="D380">
        <v>7.6700000762939498</v>
      </c>
      <c r="E380">
        <v>7.6700000762939498</v>
      </c>
      <c r="F380">
        <v>0</v>
      </c>
      <c r="G380">
        <v>2.8299999237060498</v>
      </c>
      <c r="H380">
        <v>1.8899999856948899</v>
      </c>
      <c r="I380">
        <v>2.9300000667571999</v>
      </c>
      <c r="J380">
        <v>0</v>
      </c>
      <c r="K380">
        <v>38</v>
      </c>
      <c r="L380">
        <v>30</v>
      </c>
      <c r="M380">
        <v>154</v>
      </c>
      <c r="N380">
        <v>777</v>
      </c>
      <c r="O380">
        <v>2496</v>
      </c>
      <c r="P380" s="3" cm="1">
        <f t="array" ref="P380">_xlfn.XLOOKUP(A380&amp;B380,'[1]Daily Sleep'!$A$2:$A$468&amp;'[1]Daily Sleep'!$B$2:$B$468,'[1]Daily Sleep'!$D$2:$D$468,"")</f>
        <v>6.833333333333333</v>
      </c>
    </row>
    <row r="381" spans="1:16" x14ac:dyDescent="0.35">
      <c r="A381">
        <v>7086361926</v>
      </c>
      <c r="B381" s="1">
        <v>42462</v>
      </c>
      <c r="C381">
        <v>87</v>
      </c>
      <c r="D381">
        <v>1.9999999552965199E-2</v>
      </c>
      <c r="E381">
        <v>1.9999999552965199E-2</v>
      </c>
      <c r="F381">
        <v>0</v>
      </c>
      <c r="G381">
        <v>0</v>
      </c>
      <c r="H381">
        <v>0</v>
      </c>
      <c r="I381">
        <v>9.9999997764825804E-3</v>
      </c>
      <c r="J381">
        <v>0</v>
      </c>
      <c r="K381">
        <v>0</v>
      </c>
      <c r="L381">
        <v>0</v>
      </c>
      <c r="M381">
        <v>2</v>
      </c>
      <c r="N381">
        <v>872</v>
      </c>
      <c r="O381">
        <v>1641</v>
      </c>
      <c r="P381" s="3" cm="1">
        <f t="array" ref="P381">_xlfn.XLOOKUP(A381&amp;B381,'[1]Daily Sleep'!$A$2:$A$468&amp;'[1]Daily Sleep'!$B$2:$B$468,'[1]Daily Sleep'!$D$2:$D$468,"")</f>
        <v>9.1999999999999993</v>
      </c>
    </row>
    <row r="382" spans="1:16" x14ac:dyDescent="0.35">
      <c r="A382">
        <v>7086361926</v>
      </c>
      <c r="B382" s="1">
        <v>42463</v>
      </c>
      <c r="C382">
        <v>1949</v>
      </c>
      <c r="D382">
        <v>1.3099999427795399</v>
      </c>
      <c r="E382">
        <v>1.3099999427795399</v>
      </c>
      <c r="F382">
        <v>0</v>
      </c>
      <c r="G382">
        <v>0.230000004172325</v>
      </c>
      <c r="H382">
        <v>0.34999999403953602</v>
      </c>
      <c r="I382">
        <v>0.730000019073486</v>
      </c>
      <c r="J382">
        <v>0</v>
      </c>
      <c r="K382">
        <v>3</v>
      </c>
      <c r="L382">
        <v>6</v>
      </c>
      <c r="M382">
        <v>27</v>
      </c>
      <c r="N382">
        <v>1404</v>
      </c>
      <c r="O382">
        <v>1794</v>
      </c>
      <c r="P382" s="3" t="str" cm="1">
        <f t="array" ref="P382">_xlfn.XLOOKUP(A382&amp;B382,'[1]Daily Sleep'!$A$2:$A$468&amp;'[1]Daily Sleep'!$B$2:$B$468,'[1]Daily Sleep'!$D$2:$D$468,"")</f>
        <v/>
      </c>
    </row>
    <row r="383" spans="1:16" x14ac:dyDescent="0.35">
      <c r="A383">
        <v>7086361926</v>
      </c>
      <c r="B383" s="1">
        <v>42464</v>
      </c>
      <c r="C383">
        <v>6101</v>
      </c>
      <c r="D383">
        <v>3.8699998855590798</v>
      </c>
      <c r="E383">
        <v>3.8699998855590798</v>
      </c>
      <c r="F383">
        <v>0</v>
      </c>
      <c r="G383">
        <v>0.52999997138977095</v>
      </c>
      <c r="H383">
        <v>0.230000004172325</v>
      </c>
      <c r="I383">
        <v>3.0999999046325701</v>
      </c>
      <c r="J383">
        <v>0</v>
      </c>
      <c r="K383">
        <v>31</v>
      </c>
      <c r="L383">
        <v>24</v>
      </c>
      <c r="M383">
        <v>138</v>
      </c>
      <c r="N383">
        <v>1247</v>
      </c>
      <c r="O383">
        <v>2421</v>
      </c>
      <c r="P383" s="3" t="str" cm="1">
        <f t="array" ref="P383">_xlfn.XLOOKUP(A383&amp;B383,'[1]Daily Sleep'!$A$2:$A$468&amp;'[1]Daily Sleep'!$B$2:$B$468,'[1]Daily Sleep'!$D$2:$D$468,"")</f>
        <v/>
      </c>
    </row>
    <row r="384" spans="1:16" x14ac:dyDescent="0.35">
      <c r="A384">
        <v>7086361926</v>
      </c>
      <c r="B384" s="1">
        <v>42465</v>
      </c>
      <c r="C384">
        <v>7478</v>
      </c>
      <c r="D384">
        <v>4.9899997711181596</v>
      </c>
      <c r="E384">
        <v>4.9899997711181596</v>
      </c>
      <c r="F384">
        <v>0</v>
      </c>
      <c r="G384">
        <v>1.79999995231628</v>
      </c>
      <c r="H384">
        <v>0.52999997138977095</v>
      </c>
      <c r="I384">
        <v>2.6099998950958301</v>
      </c>
      <c r="J384">
        <v>2.9999999329447701E-2</v>
      </c>
      <c r="K384">
        <v>25</v>
      </c>
      <c r="L384">
        <v>33</v>
      </c>
      <c r="M384">
        <v>132</v>
      </c>
      <c r="N384">
        <v>1159</v>
      </c>
      <c r="O384">
        <v>2439</v>
      </c>
      <c r="P384" s="3" cm="1">
        <f t="array" ref="P384">_xlfn.XLOOKUP(A384&amp;B384,'[1]Daily Sleep'!$A$2:$A$468&amp;'[1]Daily Sleep'!$B$2:$B$468,'[1]Daily Sleep'!$D$2:$D$468,"")</f>
        <v>1.4833333333333334</v>
      </c>
    </row>
    <row r="385" spans="1:16" x14ac:dyDescent="0.35">
      <c r="A385">
        <v>7086361926</v>
      </c>
      <c r="B385" s="1">
        <v>42466</v>
      </c>
      <c r="C385">
        <v>7352</v>
      </c>
      <c r="D385">
        <v>4.7300000190734899</v>
      </c>
      <c r="E385">
        <v>4.7300000190734899</v>
      </c>
      <c r="F385">
        <v>0</v>
      </c>
      <c r="G385">
        <v>1.4099999666214</v>
      </c>
      <c r="H385">
        <v>0.77999997138977095</v>
      </c>
      <c r="I385">
        <v>2.5299999713897701</v>
      </c>
      <c r="J385">
        <v>0</v>
      </c>
      <c r="K385">
        <v>19</v>
      </c>
      <c r="L385">
        <v>14</v>
      </c>
      <c r="M385">
        <v>124</v>
      </c>
      <c r="N385">
        <v>814</v>
      </c>
      <c r="O385">
        <v>2233</v>
      </c>
      <c r="P385" s="3" cm="1">
        <f t="array" ref="P385">_xlfn.XLOOKUP(A385&amp;B385,'[1]Daily Sleep'!$A$2:$A$468&amp;'[1]Daily Sleep'!$B$2:$B$468,'[1]Daily Sleep'!$D$2:$D$468,"")</f>
        <v>7.5666666666666664</v>
      </c>
    </row>
    <row r="386" spans="1:16" x14ac:dyDescent="0.35">
      <c r="A386">
        <v>7086361926</v>
      </c>
      <c r="B386" s="1">
        <v>42467</v>
      </c>
      <c r="C386">
        <v>14604</v>
      </c>
      <c r="D386">
        <v>10.819999694824199</v>
      </c>
      <c r="E386">
        <v>10.819999694824199</v>
      </c>
      <c r="F386">
        <v>0</v>
      </c>
      <c r="G386">
        <v>7.2300000190734899</v>
      </c>
      <c r="H386">
        <v>1.12000000476837</v>
      </c>
      <c r="I386">
        <v>2.4300000667571999</v>
      </c>
      <c r="J386">
        <v>2.9999999329447701E-2</v>
      </c>
      <c r="K386">
        <v>76</v>
      </c>
      <c r="L386">
        <v>30</v>
      </c>
      <c r="M386">
        <v>127</v>
      </c>
      <c r="N386">
        <v>695</v>
      </c>
      <c r="O386">
        <v>2862</v>
      </c>
      <c r="P386" s="3" cm="1">
        <f t="array" ref="P386">_xlfn.XLOOKUP(A386&amp;B386,'[1]Daily Sleep'!$A$2:$A$468&amp;'[1]Daily Sleep'!$B$2:$B$468,'[1]Daily Sleep'!$D$2:$D$468,"")</f>
        <v>8.3833333333333329</v>
      </c>
    </row>
    <row r="387" spans="1:16" x14ac:dyDescent="0.35">
      <c r="A387">
        <v>7086361926</v>
      </c>
      <c r="B387" s="1">
        <v>42468</v>
      </c>
      <c r="C387">
        <v>9634</v>
      </c>
      <c r="D387">
        <v>6.5199999809265101</v>
      </c>
      <c r="E387">
        <v>6.5199999809265101</v>
      </c>
      <c r="F387">
        <v>0</v>
      </c>
      <c r="G387">
        <v>2.5</v>
      </c>
      <c r="H387">
        <v>1.3999999761581401</v>
      </c>
      <c r="I387">
        <v>2.5899999141693102</v>
      </c>
      <c r="J387">
        <v>0</v>
      </c>
      <c r="K387">
        <v>50</v>
      </c>
      <c r="L387">
        <v>48</v>
      </c>
      <c r="M387">
        <v>140</v>
      </c>
      <c r="N387">
        <v>797</v>
      </c>
      <c r="O387">
        <v>2752</v>
      </c>
      <c r="P387" s="3" cm="1">
        <f t="array" ref="P387">_xlfn.XLOOKUP(A387&amp;B387,'[1]Daily Sleep'!$A$2:$A$468&amp;'[1]Daily Sleep'!$B$2:$B$468,'[1]Daily Sleep'!$D$2:$D$468,"")</f>
        <v>6.4833333333333334</v>
      </c>
    </row>
    <row r="388" spans="1:16" x14ac:dyDescent="0.35">
      <c r="A388">
        <v>7086361926</v>
      </c>
      <c r="B388" s="1">
        <v>42469</v>
      </c>
      <c r="C388">
        <v>7338</v>
      </c>
      <c r="D388">
        <v>4.6700000762939498</v>
      </c>
      <c r="E388">
        <v>4.6700000762939498</v>
      </c>
      <c r="F388">
        <v>0</v>
      </c>
      <c r="G388">
        <v>1.08000004291534</v>
      </c>
      <c r="H388">
        <v>0.129999995231628</v>
      </c>
      <c r="I388">
        <v>3.46000003814697</v>
      </c>
      <c r="J388">
        <v>0</v>
      </c>
      <c r="K388">
        <v>27</v>
      </c>
      <c r="L388">
        <v>5</v>
      </c>
      <c r="M388">
        <v>204</v>
      </c>
      <c r="N388">
        <v>717</v>
      </c>
      <c r="O388">
        <v>2519</v>
      </c>
      <c r="P388" s="3" cm="1">
        <f t="array" ref="P388">_xlfn.XLOOKUP(A388&amp;B388,'[1]Daily Sleep'!$A$2:$A$468&amp;'[1]Daily Sleep'!$B$2:$B$468,'[1]Daily Sleep'!$D$2:$D$468,"")</f>
        <v>7.7666666666666666</v>
      </c>
    </row>
    <row r="389" spans="1:16" x14ac:dyDescent="0.35">
      <c r="A389">
        <v>7086361926</v>
      </c>
      <c r="B389" s="1">
        <v>42470</v>
      </c>
      <c r="C389">
        <v>569</v>
      </c>
      <c r="D389">
        <v>0.34999999403953602</v>
      </c>
      <c r="E389">
        <v>0.34999999403953602</v>
      </c>
      <c r="F389">
        <v>0</v>
      </c>
      <c r="G389">
        <v>0</v>
      </c>
      <c r="H389">
        <v>0</v>
      </c>
      <c r="I389">
        <v>0.34000000357627902</v>
      </c>
      <c r="J389">
        <v>0</v>
      </c>
      <c r="K389">
        <v>0</v>
      </c>
      <c r="L389">
        <v>0</v>
      </c>
      <c r="M389">
        <v>27</v>
      </c>
      <c r="N389">
        <v>1368</v>
      </c>
      <c r="O389">
        <v>1799</v>
      </c>
      <c r="P389" s="3" cm="1">
        <f t="array" ref="P389">_xlfn.XLOOKUP(A389&amp;B389,'[1]Daily Sleep'!$A$2:$A$468&amp;'[1]Daily Sleep'!$B$2:$B$468,'[1]Daily Sleep'!$D$2:$D$468,"")</f>
        <v>0.6</v>
      </c>
    </row>
    <row r="390" spans="1:16" x14ac:dyDescent="0.35">
      <c r="A390">
        <v>7086361926</v>
      </c>
      <c r="B390" s="1">
        <v>42471</v>
      </c>
      <c r="C390">
        <v>6242</v>
      </c>
      <c r="D390">
        <v>3.9200000762939502</v>
      </c>
      <c r="E390">
        <v>3.9200000762939502</v>
      </c>
      <c r="F390">
        <v>0</v>
      </c>
      <c r="G390">
        <v>0.74000000953674305</v>
      </c>
      <c r="H390">
        <v>0.230000004172325</v>
      </c>
      <c r="I390">
        <v>2.9300000667571999</v>
      </c>
      <c r="J390">
        <v>0</v>
      </c>
      <c r="K390">
        <v>46</v>
      </c>
      <c r="L390">
        <v>22</v>
      </c>
      <c r="M390">
        <v>126</v>
      </c>
      <c r="N390">
        <v>741</v>
      </c>
      <c r="O390">
        <v>2543</v>
      </c>
      <c r="P390" s="3" cm="1">
        <f t="array" ref="P390">_xlfn.XLOOKUP(A390&amp;B390,'[1]Daily Sleep'!$A$2:$A$468&amp;'[1]Daily Sleep'!$B$2:$B$468,'[1]Daily Sleep'!$D$2:$D$468,"")</f>
        <v>8.2833333333333332</v>
      </c>
    </row>
    <row r="391" spans="1:16" x14ac:dyDescent="0.35">
      <c r="A391">
        <v>7086361926</v>
      </c>
      <c r="B391" s="1">
        <v>42472</v>
      </c>
      <c r="C391">
        <v>430</v>
      </c>
      <c r="D391">
        <v>0.259999990463257</v>
      </c>
      <c r="E391">
        <v>0.259999990463257</v>
      </c>
      <c r="F391">
        <v>0</v>
      </c>
      <c r="G391">
        <v>0</v>
      </c>
      <c r="H391">
        <v>0</v>
      </c>
      <c r="I391">
        <v>0.259999990463257</v>
      </c>
      <c r="J391">
        <v>0</v>
      </c>
      <c r="K391">
        <v>0</v>
      </c>
      <c r="L391">
        <v>0</v>
      </c>
      <c r="M391">
        <v>14</v>
      </c>
      <c r="N391">
        <v>75</v>
      </c>
      <c r="O391">
        <v>625</v>
      </c>
      <c r="P391" s="3" cm="1">
        <f t="array" ref="P391">_xlfn.XLOOKUP(A391&amp;B391,'[1]Daily Sleep'!$A$2:$A$468&amp;'[1]Daily Sleep'!$B$2:$B$468,'[1]Daily Sleep'!$D$2:$D$468,"")</f>
        <v>6.833333333333333</v>
      </c>
    </row>
    <row r="392" spans="1:16" x14ac:dyDescent="0.35">
      <c r="A392">
        <v>8053475328</v>
      </c>
      <c r="B392" s="1">
        <v>42462</v>
      </c>
      <c r="C392">
        <v>20188</v>
      </c>
      <c r="D392">
        <v>15.6199998855591</v>
      </c>
      <c r="E392">
        <v>15.6199998855591</v>
      </c>
      <c r="F392">
        <v>0</v>
      </c>
      <c r="G392">
        <v>12.060000419616699</v>
      </c>
      <c r="H392">
        <v>0.85000002384185802</v>
      </c>
      <c r="I392">
        <v>2.71000003814697</v>
      </c>
      <c r="J392">
        <v>0</v>
      </c>
      <c r="K392">
        <v>124</v>
      </c>
      <c r="L392">
        <v>19</v>
      </c>
      <c r="M392">
        <v>172</v>
      </c>
      <c r="N392">
        <v>1125</v>
      </c>
      <c r="O392">
        <v>3377</v>
      </c>
      <c r="P392" s="3" t="str" cm="1">
        <f t="array" ref="P392">_xlfn.XLOOKUP(A392&amp;B392,'[1]Daily Sleep'!$A$2:$A$468&amp;'[1]Daily Sleep'!$B$2:$B$468,'[1]Daily Sleep'!$D$2:$D$468,"")</f>
        <v/>
      </c>
    </row>
    <row r="393" spans="1:16" x14ac:dyDescent="0.35">
      <c r="A393">
        <v>8053475328</v>
      </c>
      <c r="B393" s="1">
        <v>42463</v>
      </c>
      <c r="C393">
        <v>25701</v>
      </c>
      <c r="D393">
        <v>20.139999389648398</v>
      </c>
      <c r="E393">
        <v>20.139999389648398</v>
      </c>
      <c r="F393">
        <v>0</v>
      </c>
      <c r="G393">
        <v>16.819999694824201</v>
      </c>
      <c r="H393">
        <v>1.62999999523163</v>
      </c>
      <c r="I393">
        <v>1.6900000572204601</v>
      </c>
      <c r="J393">
        <v>0</v>
      </c>
      <c r="K393">
        <v>165</v>
      </c>
      <c r="L393">
        <v>36</v>
      </c>
      <c r="M393">
        <v>97</v>
      </c>
      <c r="N393">
        <v>1142</v>
      </c>
      <c r="O393">
        <v>3697</v>
      </c>
      <c r="P393" s="3" t="str" cm="1">
        <f t="array" ref="P393">_xlfn.XLOOKUP(A393&amp;B393,'[1]Daily Sleep'!$A$2:$A$468&amp;'[1]Daily Sleep'!$B$2:$B$468,'[1]Daily Sleep'!$D$2:$D$468,"")</f>
        <v/>
      </c>
    </row>
    <row r="394" spans="1:16" x14ac:dyDescent="0.35">
      <c r="A394">
        <v>8053475328</v>
      </c>
      <c r="B394" s="1">
        <v>42464</v>
      </c>
      <c r="C394">
        <v>17395</v>
      </c>
      <c r="D394">
        <v>13.210000038146999</v>
      </c>
      <c r="E394">
        <v>13.210000038146999</v>
      </c>
      <c r="F394">
        <v>0</v>
      </c>
      <c r="G394">
        <v>9.6700000762939506</v>
      </c>
      <c r="H394">
        <v>0.18000000715255701</v>
      </c>
      <c r="I394">
        <v>3.3499999046325701</v>
      </c>
      <c r="J394">
        <v>0</v>
      </c>
      <c r="K394">
        <v>100</v>
      </c>
      <c r="L394">
        <v>4</v>
      </c>
      <c r="M394">
        <v>213</v>
      </c>
      <c r="N394">
        <v>1123</v>
      </c>
      <c r="O394">
        <v>3209</v>
      </c>
      <c r="P394" s="3" t="str" cm="1">
        <f t="array" ref="P394">_xlfn.XLOOKUP(A394&amp;B394,'[1]Daily Sleep'!$A$2:$A$468&amp;'[1]Daily Sleep'!$B$2:$B$468,'[1]Daily Sleep'!$D$2:$D$468,"")</f>
        <v/>
      </c>
    </row>
    <row r="395" spans="1:16" x14ac:dyDescent="0.35">
      <c r="A395">
        <v>8053475328</v>
      </c>
      <c r="B395" s="1">
        <v>42465</v>
      </c>
      <c r="C395">
        <v>17167</v>
      </c>
      <c r="D395">
        <v>13.4099998474121</v>
      </c>
      <c r="E395">
        <v>13.4099998474121</v>
      </c>
      <c r="F395">
        <v>0</v>
      </c>
      <c r="G395">
        <v>9.9600000381469709</v>
      </c>
      <c r="H395">
        <v>0.31000000238418601</v>
      </c>
      <c r="I395">
        <v>3.1400001049041699</v>
      </c>
      <c r="J395">
        <v>0</v>
      </c>
      <c r="K395">
        <v>98</v>
      </c>
      <c r="L395">
        <v>8</v>
      </c>
      <c r="M395">
        <v>184</v>
      </c>
      <c r="N395">
        <v>1150</v>
      </c>
      <c r="O395">
        <v>3167</v>
      </c>
      <c r="P395" s="3" t="str" cm="1">
        <f t="array" ref="P395">_xlfn.XLOOKUP(A395&amp;B395,'[1]Daily Sleep'!$A$2:$A$468&amp;'[1]Daily Sleep'!$B$2:$B$468,'[1]Daily Sleep'!$D$2:$D$468,"")</f>
        <v/>
      </c>
    </row>
    <row r="396" spans="1:16" x14ac:dyDescent="0.35">
      <c r="A396">
        <v>8053475328</v>
      </c>
      <c r="B396" s="1">
        <v>42466</v>
      </c>
      <c r="C396">
        <v>16435</v>
      </c>
      <c r="D396">
        <v>12.420000076293899</v>
      </c>
      <c r="E396">
        <v>12.420000076293899</v>
      </c>
      <c r="F396">
        <v>0</v>
      </c>
      <c r="G396">
        <v>8.9600000381469709</v>
      </c>
      <c r="H396">
        <v>0.55000001192092896</v>
      </c>
      <c r="I396">
        <v>2.9100000858306898</v>
      </c>
      <c r="J396">
        <v>0</v>
      </c>
      <c r="K396">
        <v>100</v>
      </c>
      <c r="L396">
        <v>14</v>
      </c>
      <c r="M396">
        <v>191</v>
      </c>
      <c r="N396">
        <v>1135</v>
      </c>
      <c r="O396">
        <v>3122</v>
      </c>
      <c r="P396" s="3" t="str" cm="1">
        <f t="array" ref="P396">_xlfn.XLOOKUP(A396&amp;B396,'[1]Daily Sleep'!$A$2:$A$468&amp;'[1]Daily Sleep'!$B$2:$B$468,'[1]Daily Sleep'!$D$2:$D$468,"")</f>
        <v/>
      </c>
    </row>
    <row r="397" spans="1:16" x14ac:dyDescent="0.35">
      <c r="A397">
        <v>8053475328</v>
      </c>
      <c r="B397" s="1">
        <v>42467</v>
      </c>
      <c r="C397">
        <v>17078</v>
      </c>
      <c r="D397">
        <v>13.199999809265099</v>
      </c>
      <c r="E397">
        <v>13.199999809265099</v>
      </c>
      <c r="F397">
        <v>0</v>
      </c>
      <c r="G397">
        <v>9.9700002670288104</v>
      </c>
      <c r="H397">
        <v>0.239999994635582</v>
      </c>
      <c r="I397">
        <v>2.9900000095367401</v>
      </c>
      <c r="J397">
        <v>0</v>
      </c>
      <c r="K397">
        <v>101</v>
      </c>
      <c r="L397">
        <v>6</v>
      </c>
      <c r="M397">
        <v>190</v>
      </c>
      <c r="N397">
        <v>1143</v>
      </c>
      <c r="O397">
        <v>3176</v>
      </c>
      <c r="P397" s="3" t="str" cm="1">
        <f t="array" ref="P397">_xlfn.XLOOKUP(A397&amp;B397,'[1]Daily Sleep'!$A$2:$A$468&amp;'[1]Daily Sleep'!$B$2:$B$468,'[1]Daily Sleep'!$D$2:$D$468,"")</f>
        <v/>
      </c>
    </row>
    <row r="398" spans="1:16" x14ac:dyDescent="0.35">
      <c r="A398">
        <v>8053475328</v>
      </c>
      <c r="B398" s="1">
        <v>42468</v>
      </c>
      <c r="C398">
        <v>11693</v>
      </c>
      <c r="D398">
        <v>9.5399999618530291</v>
      </c>
      <c r="E398">
        <v>9.5399999618530291</v>
      </c>
      <c r="F398">
        <v>0</v>
      </c>
      <c r="G398">
        <v>6.7699999809265101</v>
      </c>
      <c r="H398">
        <v>0.259999990463257</v>
      </c>
      <c r="I398">
        <v>2.5</v>
      </c>
      <c r="J398">
        <v>0</v>
      </c>
      <c r="K398">
        <v>60</v>
      </c>
      <c r="L398">
        <v>6</v>
      </c>
      <c r="M398">
        <v>153</v>
      </c>
      <c r="N398">
        <v>1221</v>
      </c>
      <c r="O398">
        <v>2790</v>
      </c>
      <c r="P398" s="3" t="str" cm="1">
        <f t="array" ref="P398">_xlfn.XLOOKUP(A398&amp;B398,'[1]Daily Sleep'!$A$2:$A$468&amp;'[1]Daily Sleep'!$B$2:$B$468,'[1]Daily Sleep'!$D$2:$D$468,"")</f>
        <v/>
      </c>
    </row>
    <row r="399" spans="1:16" x14ac:dyDescent="0.35">
      <c r="A399">
        <v>8053475328</v>
      </c>
      <c r="B399" s="1">
        <v>42469</v>
      </c>
      <c r="C399">
        <v>11159</v>
      </c>
      <c r="D399">
        <v>9.1400003433227504</v>
      </c>
      <c r="E399">
        <v>9.1400003433227504</v>
      </c>
      <c r="F399">
        <v>0</v>
      </c>
      <c r="G399">
        <v>6.6900000572204599</v>
      </c>
      <c r="H399">
        <v>0.25</v>
      </c>
      <c r="I399">
        <v>2.1900000572204599</v>
      </c>
      <c r="J399">
        <v>0</v>
      </c>
      <c r="K399">
        <v>59</v>
      </c>
      <c r="L399">
        <v>6</v>
      </c>
      <c r="M399">
        <v>120</v>
      </c>
      <c r="N399">
        <v>1255</v>
      </c>
      <c r="O399">
        <v>2715</v>
      </c>
      <c r="P399" s="3" t="str" cm="1">
        <f t="array" ref="P399">_xlfn.XLOOKUP(A399&amp;B399,'[1]Daily Sleep'!$A$2:$A$468&amp;'[1]Daily Sleep'!$B$2:$B$468,'[1]Daily Sleep'!$D$2:$D$468,"")</f>
        <v/>
      </c>
    </row>
    <row r="400" spans="1:16" x14ac:dyDescent="0.35">
      <c r="A400">
        <v>8053475328</v>
      </c>
      <c r="B400" s="1">
        <v>42470</v>
      </c>
      <c r="C400">
        <v>10118</v>
      </c>
      <c r="D400">
        <v>7.7300000190734899</v>
      </c>
      <c r="E400">
        <v>7.7300000190734899</v>
      </c>
      <c r="F400">
        <v>0</v>
      </c>
      <c r="G400">
        <v>3.0499999523162802</v>
      </c>
      <c r="H400">
        <v>0.80000001192092896</v>
      </c>
      <c r="I400">
        <v>3.8800001144409202</v>
      </c>
      <c r="J400">
        <v>0</v>
      </c>
      <c r="K400">
        <v>30</v>
      </c>
      <c r="L400">
        <v>18</v>
      </c>
      <c r="M400">
        <v>207</v>
      </c>
      <c r="N400">
        <v>1185</v>
      </c>
      <c r="O400">
        <v>2684</v>
      </c>
      <c r="P400" s="3" t="str" cm="1">
        <f t="array" ref="P400">_xlfn.XLOOKUP(A400&amp;B400,'[1]Daily Sleep'!$A$2:$A$468&amp;'[1]Daily Sleep'!$B$2:$B$468,'[1]Daily Sleep'!$D$2:$D$468,"")</f>
        <v/>
      </c>
    </row>
    <row r="401" spans="1:16" x14ac:dyDescent="0.35">
      <c r="A401">
        <v>8053475328</v>
      </c>
      <c r="B401" s="1">
        <v>42471</v>
      </c>
      <c r="C401">
        <v>16064</v>
      </c>
      <c r="D401">
        <v>12.7200002670288</v>
      </c>
      <c r="E401">
        <v>12.7200002670288</v>
      </c>
      <c r="F401">
        <v>0</v>
      </c>
      <c r="G401">
        <v>9.9799995422363299</v>
      </c>
      <c r="H401">
        <v>0.36000001430511502</v>
      </c>
      <c r="I401">
        <v>2.3800001144409202</v>
      </c>
      <c r="J401">
        <v>0</v>
      </c>
      <c r="K401">
        <v>96</v>
      </c>
      <c r="L401">
        <v>8</v>
      </c>
      <c r="M401">
        <v>155</v>
      </c>
      <c r="N401">
        <v>1181</v>
      </c>
      <c r="O401">
        <v>3097</v>
      </c>
      <c r="P401" s="3" t="str" cm="1">
        <f t="array" ref="P401">_xlfn.XLOOKUP(A401&amp;B401,'[1]Daily Sleep'!$A$2:$A$468&amp;'[1]Daily Sleep'!$B$2:$B$468,'[1]Daily Sleep'!$D$2:$D$468,"")</f>
        <v/>
      </c>
    </row>
    <row r="402" spans="1:16" x14ac:dyDescent="0.35">
      <c r="A402">
        <v>8053475328</v>
      </c>
      <c r="B402" s="1">
        <v>42472</v>
      </c>
      <c r="C402">
        <v>290</v>
      </c>
      <c r="D402">
        <v>0.20999999344348899</v>
      </c>
      <c r="E402">
        <v>0.20999999344348899</v>
      </c>
      <c r="F402">
        <v>0</v>
      </c>
      <c r="G402">
        <v>0</v>
      </c>
      <c r="H402">
        <v>0</v>
      </c>
      <c r="I402">
        <v>0.20999999344348899</v>
      </c>
      <c r="J402">
        <v>0</v>
      </c>
      <c r="K402">
        <v>0</v>
      </c>
      <c r="L402">
        <v>0</v>
      </c>
      <c r="M402">
        <v>16</v>
      </c>
      <c r="N402">
        <v>599</v>
      </c>
      <c r="O402">
        <v>791</v>
      </c>
      <c r="P402" s="3" t="str" cm="1">
        <f t="array" ref="P402">_xlfn.XLOOKUP(A402&amp;B402,'[1]Daily Sleep'!$A$2:$A$468&amp;'[1]Daily Sleep'!$B$2:$B$468,'[1]Daily Sleep'!$D$2:$D$468,"")</f>
        <v/>
      </c>
    </row>
    <row r="403" spans="1:16" x14ac:dyDescent="0.35">
      <c r="A403">
        <v>8253242879</v>
      </c>
      <c r="B403" s="1">
        <v>42461</v>
      </c>
      <c r="C403">
        <v>0</v>
      </c>
      <c r="D403">
        <v>0</v>
      </c>
      <c r="E403">
        <v>0</v>
      </c>
      <c r="F403">
        <v>0</v>
      </c>
      <c r="G403">
        <v>0</v>
      </c>
      <c r="H403">
        <v>0</v>
      </c>
      <c r="I403">
        <v>0</v>
      </c>
      <c r="J403">
        <v>0</v>
      </c>
      <c r="K403">
        <v>0</v>
      </c>
      <c r="L403">
        <v>0</v>
      </c>
      <c r="M403">
        <v>0</v>
      </c>
      <c r="N403">
        <v>1440</v>
      </c>
      <c r="O403">
        <v>1429</v>
      </c>
      <c r="P403" s="3" t="str" cm="1">
        <f t="array" ref="P403">_xlfn.XLOOKUP(A403&amp;B403,'[1]Daily Sleep'!$A$2:$A$468&amp;'[1]Daily Sleep'!$B$2:$B$468,'[1]Daily Sleep'!$D$2:$D$468,"")</f>
        <v/>
      </c>
    </row>
    <row r="404" spans="1:16" x14ac:dyDescent="0.35">
      <c r="A404">
        <v>8253242879</v>
      </c>
      <c r="B404" s="1">
        <v>42462</v>
      </c>
      <c r="C404">
        <v>0</v>
      </c>
      <c r="D404">
        <v>0</v>
      </c>
      <c r="E404">
        <v>0</v>
      </c>
      <c r="F404">
        <v>0</v>
      </c>
      <c r="G404">
        <v>0</v>
      </c>
      <c r="H404">
        <v>0</v>
      </c>
      <c r="I404">
        <v>0</v>
      </c>
      <c r="J404">
        <v>0</v>
      </c>
      <c r="K404">
        <v>0</v>
      </c>
      <c r="L404">
        <v>0</v>
      </c>
      <c r="M404">
        <v>0</v>
      </c>
      <c r="N404">
        <v>1440</v>
      </c>
      <c r="O404">
        <v>1429</v>
      </c>
      <c r="P404" s="3" t="str" cm="1">
        <f t="array" ref="P404">_xlfn.XLOOKUP(A404&amp;B404,'[1]Daily Sleep'!$A$2:$A$468&amp;'[1]Daily Sleep'!$B$2:$B$468,'[1]Daily Sleep'!$D$2:$D$468,"")</f>
        <v/>
      </c>
    </row>
    <row r="405" spans="1:16" x14ac:dyDescent="0.35">
      <c r="A405">
        <v>8253242879</v>
      </c>
      <c r="B405" s="1">
        <v>42463</v>
      </c>
      <c r="C405">
        <v>0</v>
      </c>
      <c r="D405">
        <v>0</v>
      </c>
      <c r="E405">
        <v>0</v>
      </c>
      <c r="F405">
        <v>0</v>
      </c>
      <c r="G405">
        <v>0</v>
      </c>
      <c r="H405">
        <v>0</v>
      </c>
      <c r="I405">
        <v>0</v>
      </c>
      <c r="J405">
        <v>0</v>
      </c>
      <c r="K405">
        <v>0</v>
      </c>
      <c r="L405">
        <v>0</v>
      </c>
      <c r="M405">
        <v>0</v>
      </c>
      <c r="N405">
        <v>1440</v>
      </c>
      <c r="O405">
        <v>1429</v>
      </c>
      <c r="P405" s="3" t="str" cm="1">
        <f t="array" ref="P405">_xlfn.XLOOKUP(A405&amp;B405,'[1]Daily Sleep'!$A$2:$A$468&amp;'[1]Daily Sleep'!$B$2:$B$468,'[1]Daily Sleep'!$D$2:$D$468,"")</f>
        <v/>
      </c>
    </row>
    <row r="406" spans="1:16" x14ac:dyDescent="0.35">
      <c r="A406">
        <v>8253242879</v>
      </c>
      <c r="B406" s="1">
        <v>42464</v>
      </c>
      <c r="C406">
        <v>0</v>
      </c>
      <c r="D406">
        <v>0</v>
      </c>
      <c r="E406">
        <v>0</v>
      </c>
      <c r="F406">
        <v>0</v>
      </c>
      <c r="G406">
        <v>0</v>
      </c>
      <c r="H406">
        <v>0</v>
      </c>
      <c r="I406">
        <v>0</v>
      </c>
      <c r="J406">
        <v>0</v>
      </c>
      <c r="K406">
        <v>0</v>
      </c>
      <c r="L406">
        <v>0</v>
      </c>
      <c r="M406">
        <v>0</v>
      </c>
      <c r="N406">
        <v>1440</v>
      </c>
      <c r="O406">
        <v>1429</v>
      </c>
      <c r="P406" s="3" t="str" cm="1">
        <f t="array" ref="P406">_xlfn.XLOOKUP(A406&amp;B406,'[1]Daily Sleep'!$A$2:$A$468&amp;'[1]Daily Sleep'!$B$2:$B$468,'[1]Daily Sleep'!$D$2:$D$468,"")</f>
        <v/>
      </c>
    </row>
    <row r="407" spans="1:16" x14ac:dyDescent="0.35">
      <c r="A407">
        <v>8253242879</v>
      </c>
      <c r="B407" s="1">
        <v>42465</v>
      </c>
      <c r="C407">
        <v>0</v>
      </c>
      <c r="D407">
        <v>0</v>
      </c>
      <c r="E407">
        <v>0</v>
      </c>
      <c r="F407">
        <v>0</v>
      </c>
      <c r="G407">
        <v>0</v>
      </c>
      <c r="H407">
        <v>0</v>
      </c>
      <c r="I407">
        <v>0</v>
      </c>
      <c r="J407">
        <v>0</v>
      </c>
      <c r="K407">
        <v>0</v>
      </c>
      <c r="L407">
        <v>0</v>
      </c>
      <c r="M407">
        <v>0</v>
      </c>
      <c r="N407">
        <v>1440</v>
      </c>
      <c r="O407">
        <v>1429</v>
      </c>
      <c r="P407" s="3" t="str" cm="1">
        <f t="array" ref="P407">_xlfn.XLOOKUP(A407&amp;B407,'[1]Daily Sleep'!$A$2:$A$468&amp;'[1]Daily Sleep'!$B$2:$B$468,'[1]Daily Sleep'!$D$2:$D$468,"")</f>
        <v/>
      </c>
    </row>
    <row r="408" spans="1:16" x14ac:dyDescent="0.35">
      <c r="A408">
        <v>8253242879</v>
      </c>
      <c r="B408" s="1">
        <v>42466</v>
      </c>
      <c r="C408">
        <v>1931</v>
      </c>
      <c r="D408">
        <v>1.2799999713897701</v>
      </c>
      <c r="E408">
        <v>1.2799999713897701</v>
      </c>
      <c r="F408">
        <v>0</v>
      </c>
      <c r="G408">
        <v>0</v>
      </c>
      <c r="H408">
        <v>0</v>
      </c>
      <c r="I408">
        <v>1.2799999713897701</v>
      </c>
      <c r="J408">
        <v>0</v>
      </c>
      <c r="K408">
        <v>0</v>
      </c>
      <c r="L408">
        <v>0</v>
      </c>
      <c r="M408">
        <v>94</v>
      </c>
      <c r="N408">
        <v>1346</v>
      </c>
      <c r="O408">
        <v>1607</v>
      </c>
      <c r="P408" s="3" t="str" cm="1">
        <f t="array" ref="P408">_xlfn.XLOOKUP(A408&amp;B408,'[1]Daily Sleep'!$A$2:$A$468&amp;'[1]Daily Sleep'!$B$2:$B$468,'[1]Daily Sleep'!$D$2:$D$468,"")</f>
        <v/>
      </c>
    </row>
    <row r="409" spans="1:16" x14ac:dyDescent="0.35">
      <c r="A409">
        <v>8253242879</v>
      </c>
      <c r="B409" s="1">
        <v>42467</v>
      </c>
      <c r="C409">
        <v>5181</v>
      </c>
      <c r="D409">
        <v>3.4200000762939502</v>
      </c>
      <c r="E409">
        <v>3.4200000762939502</v>
      </c>
      <c r="F409">
        <v>0</v>
      </c>
      <c r="G409">
        <v>1</v>
      </c>
      <c r="H409">
        <v>0.91000002622604403</v>
      </c>
      <c r="I409">
        <v>1.5099999904632599</v>
      </c>
      <c r="J409">
        <v>9.9999997764825804E-3</v>
      </c>
      <c r="K409">
        <v>15</v>
      </c>
      <c r="L409">
        <v>15</v>
      </c>
      <c r="M409">
        <v>107</v>
      </c>
      <c r="N409">
        <v>1303</v>
      </c>
      <c r="O409">
        <v>1776</v>
      </c>
      <c r="P409" s="3" t="str" cm="1">
        <f t="array" ref="P409">_xlfn.XLOOKUP(A409&amp;B409,'[1]Daily Sleep'!$A$2:$A$468&amp;'[1]Daily Sleep'!$B$2:$B$468,'[1]Daily Sleep'!$D$2:$D$468,"")</f>
        <v/>
      </c>
    </row>
    <row r="410" spans="1:16" x14ac:dyDescent="0.35">
      <c r="A410">
        <v>8253242879</v>
      </c>
      <c r="B410" s="1">
        <v>42468</v>
      </c>
      <c r="C410">
        <v>12026</v>
      </c>
      <c r="D410">
        <v>9.1499996185302699</v>
      </c>
      <c r="E410">
        <v>9.1499996185302699</v>
      </c>
      <c r="F410">
        <v>0</v>
      </c>
      <c r="G410">
        <v>5.6999998092651403</v>
      </c>
      <c r="H410">
        <v>0.93000000715255704</v>
      </c>
      <c r="I410">
        <v>2.5099999904632599</v>
      </c>
      <c r="J410">
        <v>0</v>
      </c>
      <c r="K410">
        <v>47</v>
      </c>
      <c r="L410">
        <v>13</v>
      </c>
      <c r="M410">
        <v>150</v>
      </c>
      <c r="N410">
        <v>1230</v>
      </c>
      <c r="O410">
        <v>2162</v>
      </c>
      <c r="P410" s="3" t="str" cm="1">
        <f t="array" ref="P410">_xlfn.XLOOKUP(A410&amp;B410,'[1]Daily Sleep'!$A$2:$A$468&amp;'[1]Daily Sleep'!$B$2:$B$468,'[1]Daily Sleep'!$D$2:$D$468,"")</f>
        <v/>
      </c>
    </row>
    <row r="411" spans="1:16" x14ac:dyDescent="0.35">
      <c r="A411">
        <v>8253242879</v>
      </c>
      <c r="B411" s="1">
        <v>42469</v>
      </c>
      <c r="C411">
        <v>5360</v>
      </c>
      <c r="D411">
        <v>3.53999996185303</v>
      </c>
      <c r="E411">
        <v>3.53999996185303</v>
      </c>
      <c r="F411">
        <v>0</v>
      </c>
      <c r="G411">
        <v>0.54000002145767201</v>
      </c>
      <c r="H411">
        <v>1.54999995231628</v>
      </c>
      <c r="I411">
        <v>1.46000003814697</v>
      </c>
      <c r="J411">
        <v>0</v>
      </c>
      <c r="K411">
        <v>8</v>
      </c>
      <c r="L411">
        <v>28</v>
      </c>
      <c r="M411">
        <v>148</v>
      </c>
      <c r="N411">
        <v>1256</v>
      </c>
      <c r="O411">
        <v>1832</v>
      </c>
      <c r="P411" s="3" t="str" cm="1">
        <f t="array" ref="P411">_xlfn.XLOOKUP(A411&amp;B411,'[1]Daily Sleep'!$A$2:$A$468&amp;'[1]Daily Sleep'!$B$2:$B$468,'[1]Daily Sleep'!$D$2:$D$468,"")</f>
        <v/>
      </c>
    </row>
    <row r="412" spans="1:16" x14ac:dyDescent="0.35">
      <c r="A412">
        <v>8253242879</v>
      </c>
      <c r="B412" s="1">
        <v>42470</v>
      </c>
      <c r="C412">
        <v>2545</v>
      </c>
      <c r="D412">
        <v>1.6799999475479099</v>
      </c>
      <c r="E412">
        <v>1.6799999475479099</v>
      </c>
      <c r="F412">
        <v>0</v>
      </c>
      <c r="G412">
        <v>0</v>
      </c>
      <c r="H412">
        <v>0</v>
      </c>
      <c r="I412">
        <v>1.66999995708466</v>
      </c>
      <c r="J412">
        <v>1.9999999552965199E-2</v>
      </c>
      <c r="K412">
        <v>0</v>
      </c>
      <c r="L412">
        <v>0</v>
      </c>
      <c r="M412">
        <v>126</v>
      </c>
      <c r="N412">
        <v>1314</v>
      </c>
      <c r="O412">
        <v>1657</v>
      </c>
      <c r="P412" s="3" t="str" cm="1">
        <f t="array" ref="P412">_xlfn.XLOOKUP(A412&amp;B412,'[1]Daily Sleep'!$A$2:$A$468&amp;'[1]Daily Sleep'!$B$2:$B$468,'[1]Daily Sleep'!$D$2:$D$468,"")</f>
        <v/>
      </c>
    </row>
    <row r="413" spans="1:16" x14ac:dyDescent="0.35">
      <c r="A413">
        <v>8253242879</v>
      </c>
      <c r="B413" s="1">
        <v>42471</v>
      </c>
      <c r="C413">
        <v>1636</v>
      </c>
      <c r="D413">
        <v>1.08000004291534</v>
      </c>
      <c r="E413">
        <v>1.08000004291534</v>
      </c>
      <c r="F413">
        <v>0</v>
      </c>
      <c r="G413">
        <v>0</v>
      </c>
      <c r="H413">
        <v>0</v>
      </c>
      <c r="I413">
        <v>1.08000004291534</v>
      </c>
      <c r="J413">
        <v>0</v>
      </c>
      <c r="K413">
        <v>0</v>
      </c>
      <c r="L413">
        <v>0</v>
      </c>
      <c r="M413">
        <v>86</v>
      </c>
      <c r="N413">
        <v>1139</v>
      </c>
      <c r="O413">
        <v>1377</v>
      </c>
      <c r="P413" s="3" t="str" cm="1">
        <f t="array" ref="P413">_xlfn.XLOOKUP(A413&amp;B413,'[1]Daily Sleep'!$A$2:$A$468&amp;'[1]Daily Sleep'!$B$2:$B$468,'[1]Daily Sleep'!$D$2:$D$468,"")</f>
        <v/>
      </c>
    </row>
    <row r="414" spans="1:16" x14ac:dyDescent="0.35">
      <c r="A414">
        <v>8253242879</v>
      </c>
      <c r="B414" s="1">
        <v>42472</v>
      </c>
      <c r="C414">
        <v>0</v>
      </c>
      <c r="D414">
        <v>0</v>
      </c>
      <c r="E414">
        <v>0</v>
      </c>
      <c r="F414">
        <v>0</v>
      </c>
      <c r="G414">
        <v>0</v>
      </c>
      <c r="H414">
        <v>0</v>
      </c>
      <c r="I414">
        <v>0</v>
      </c>
      <c r="J414">
        <v>0</v>
      </c>
      <c r="K414">
        <v>0</v>
      </c>
      <c r="L414">
        <v>0</v>
      </c>
      <c r="M414">
        <v>0</v>
      </c>
      <c r="N414">
        <v>1440</v>
      </c>
      <c r="O414">
        <v>0</v>
      </c>
      <c r="P414" s="3" t="str" cm="1">
        <f t="array" ref="P414">_xlfn.XLOOKUP(A414&amp;B414,'[1]Daily Sleep'!$A$2:$A$468&amp;'[1]Daily Sleep'!$B$2:$B$468,'[1]Daily Sleep'!$D$2:$D$468,"")</f>
        <v/>
      </c>
    </row>
    <row r="415" spans="1:16" x14ac:dyDescent="0.35">
      <c r="A415">
        <v>8378563200</v>
      </c>
      <c r="B415" s="1">
        <v>42461</v>
      </c>
      <c r="C415">
        <v>14179</v>
      </c>
      <c r="D415">
        <v>11.2399997711182</v>
      </c>
      <c r="E415">
        <v>11.2399997711182</v>
      </c>
      <c r="F415">
        <v>0</v>
      </c>
      <c r="G415">
        <v>6.2300000190734899</v>
      </c>
      <c r="H415">
        <v>1.0599999427795399</v>
      </c>
      <c r="I415">
        <v>3.96000003814697</v>
      </c>
      <c r="J415">
        <v>0</v>
      </c>
      <c r="K415">
        <v>73</v>
      </c>
      <c r="L415">
        <v>21</v>
      </c>
      <c r="M415">
        <v>195</v>
      </c>
      <c r="N415">
        <v>719</v>
      </c>
      <c r="O415">
        <v>3669</v>
      </c>
      <c r="P415" s="3" cm="1">
        <f t="array" ref="P415">_xlfn.XLOOKUP(A415&amp;B415,'[1]Daily Sleep'!$A$2:$A$468&amp;'[1]Daily Sleep'!$B$2:$B$468,'[1]Daily Sleep'!$D$2:$D$468,"")</f>
        <v>6.8</v>
      </c>
    </row>
    <row r="416" spans="1:16" x14ac:dyDescent="0.35">
      <c r="A416">
        <v>8378563200</v>
      </c>
      <c r="B416" s="1">
        <v>42462</v>
      </c>
      <c r="C416">
        <v>3358</v>
      </c>
      <c r="D416">
        <v>2.6600000858306898</v>
      </c>
      <c r="E416">
        <v>2.6600000858306898</v>
      </c>
      <c r="F416">
        <v>0</v>
      </c>
      <c r="G416">
        <v>0</v>
      </c>
      <c r="H416">
        <v>0</v>
      </c>
      <c r="I416">
        <v>2.6600000858306898</v>
      </c>
      <c r="J416">
        <v>0</v>
      </c>
      <c r="K416">
        <v>0</v>
      </c>
      <c r="L416">
        <v>0</v>
      </c>
      <c r="M416">
        <v>144</v>
      </c>
      <c r="N416">
        <v>657</v>
      </c>
      <c r="O416">
        <v>2702</v>
      </c>
      <c r="P416" s="3" cm="1">
        <f t="array" ref="P416">_xlfn.XLOOKUP(A416&amp;B416,'[1]Daily Sleep'!$A$2:$A$468&amp;'[1]Daily Sleep'!$B$2:$B$468,'[1]Daily Sleep'!$D$2:$D$468,"")</f>
        <v>9.6999999999999993</v>
      </c>
    </row>
    <row r="417" spans="1:16" x14ac:dyDescent="0.35">
      <c r="A417">
        <v>8378563200</v>
      </c>
      <c r="B417" s="1">
        <v>42463</v>
      </c>
      <c r="C417">
        <v>9152</v>
      </c>
      <c r="D417">
        <v>7.2600002288818404</v>
      </c>
      <c r="E417">
        <v>7.2600002288818404</v>
      </c>
      <c r="F417">
        <v>0</v>
      </c>
      <c r="G417">
        <v>1.9900000095367401</v>
      </c>
      <c r="H417">
        <v>0.81999999284744296</v>
      </c>
      <c r="I417">
        <v>4.4499998092651403</v>
      </c>
      <c r="J417">
        <v>0</v>
      </c>
      <c r="K417">
        <v>25</v>
      </c>
      <c r="L417">
        <v>13</v>
      </c>
      <c r="M417">
        <v>243</v>
      </c>
      <c r="N417">
        <v>600</v>
      </c>
      <c r="O417">
        <v>3304</v>
      </c>
      <c r="P417" s="3" cm="1">
        <f t="array" ref="P417">_xlfn.XLOOKUP(A417&amp;B417,'[1]Daily Sleep'!$A$2:$A$468&amp;'[1]Daily Sleep'!$B$2:$B$468,'[1]Daily Sleep'!$D$2:$D$468,"")</f>
        <v>8.8166666666666664</v>
      </c>
    </row>
    <row r="418" spans="1:16" x14ac:dyDescent="0.35">
      <c r="A418">
        <v>8378563200</v>
      </c>
      <c r="B418" s="1">
        <v>42464</v>
      </c>
      <c r="C418">
        <v>13935</v>
      </c>
      <c r="D418">
        <v>11.050000190734901</v>
      </c>
      <c r="E418">
        <v>11.050000190734901</v>
      </c>
      <c r="F418">
        <v>2.0921471118927002</v>
      </c>
      <c r="G418">
        <v>4.0900001525878897</v>
      </c>
      <c r="H418">
        <v>0.79000002145767201</v>
      </c>
      <c r="I418">
        <v>6.1700000762939498</v>
      </c>
      <c r="J418">
        <v>0</v>
      </c>
      <c r="K418">
        <v>105</v>
      </c>
      <c r="L418">
        <v>16</v>
      </c>
      <c r="M418">
        <v>220</v>
      </c>
      <c r="N418">
        <v>658</v>
      </c>
      <c r="O418">
        <v>4234</v>
      </c>
      <c r="P418" s="3" cm="1">
        <f t="array" ref="P418">_xlfn.XLOOKUP(A418&amp;B418,'[1]Daily Sleep'!$A$2:$A$468&amp;'[1]Daily Sleep'!$B$2:$B$468,'[1]Daily Sleep'!$D$2:$D$468,"")</f>
        <v>6.95</v>
      </c>
    </row>
    <row r="419" spans="1:16" x14ac:dyDescent="0.35">
      <c r="A419">
        <v>8378563200</v>
      </c>
      <c r="B419" s="1">
        <v>42465</v>
      </c>
      <c r="C419">
        <v>12846</v>
      </c>
      <c r="D419">
        <v>10.189999580383301</v>
      </c>
      <c r="E419">
        <v>10.189999580383301</v>
      </c>
      <c r="F419">
        <v>2.2530810832977299</v>
      </c>
      <c r="G419">
        <v>5</v>
      </c>
      <c r="H419">
        <v>0.75</v>
      </c>
      <c r="I419">
        <v>4.4400000572204599</v>
      </c>
      <c r="J419">
        <v>0</v>
      </c>
      <c r="K419">
        <v>113</v>
      </c>
      <c r="L419">
        <v>15</v>
      </c>
      <c r="M419">
        <v>189</v>
      </c>
      <c r="N419">
        <v>686</v>
      </c>
      <c r="O419">
        <v>4128</v>
      </c>
      <c r="P419" s="3" cm="1">
        <f t="array" ref="P419">_xlfn.XLOOKUP(A419&amp;B419,'[1]Daily Sleep'!$A$2:$A$468&amp;'[1]Daily Sleep'!$B$2:$B$468,'[1]Daily Sleep'!$D$2:$D$468,"")</f>
        <v>6.9</v>
      </c>
    </row>
    <row r="420" spans="1:16" x14ac:dyDescent="0.35">
      <c r="A420">
        <v>8378563200</v>
      </c>
      <c r="B420" s="1">
        <v>42466</v>
      </c>
      <c r="C420">
        <v>9124</v>
      </c>
      <c r="D420">
        <v>7.2399997711181596</v>
      </c>
      <c r="E420">
        <v>7.2399997711181596</v>
      </c>
      <c r="F420">
        <v>2.0921471118927002</v>
      </c>
      <c r="G420">
        <v>0</v>
      </c>
      <c r="H420">
        <v>0.25</v>
      </c>
      <c r="I420">
        <v>6.9899997711181596</v>
      </c>
      <c r="J420">
        <v>0</v>
      </c>
      <c r="K420">
        <v>55</v>
      </c>
      <c r="L420">
        <v>6</v>
      </c>
      <c r="M420">
        <v>230</v>
      </c>
      <c r="N420">
        <v>728</v>
      </c>
      <c r="O420">
        <v>3798</v>
      </c>
      <c r="P420" s="3" cm="1">
        <f t="array" ref="P420">_xlfn.XLOOKUP(A420&amp;B420,'[1]Daily Sleep'!$A$2:$A$468&amp;'[1]Daily Sleep'!$B$2:$B$468,'[1]Daily Sleep'!$D$2:$D$468,"")</f>
        <v>6.7166666666666668</v>
      </c>
    </row>
    <row r="421" spans="1:16" x14ac:dyDescent="0.35">
      <c r="A421">
        <v>8378563200</v>
      </c>
      <c r="B421" s="1">
        <v>42467</v>
      </c>
      <c r="C421">
        <v>9725</v>
      </c>
      <c r="D421">
        <v>7.71000003814697</v>
      </c>
      <c r="E421">
        <v>7.71000003814697</v>
      </c>
      <c r="F421">
        <v>2.2530810832977299</v>
      </c>
      <c r="G421">
        <v>2.4100000858306898</v>
      </c>
      <c r="H421">
        <v>0.52999997138977095</v>
      </c>
      <c r="I421">
        <v>4.7699999809265101</v>
      </c>
      <c r="J421">
        <v>0</v>
      </c>
      <c r="K421">
        <v>83</v>
      </c>
      <c r="L421">
        <v>11</v>
      </c>
      <c r="M421">
        <v>181</v>
      </c>
      <c r="N421">
        <v>670</v>
      </c>
      <c r="O421">
        <v>3839</v>
      </c>
      <c r="P421" s="3" cm="1">
        <f t="array" ref="P421">_xlfn.XLOOKUP(A421&amp;B421,'[1]Daily Sleep'!$A$2:$A$468&amp;'[1]Daily Sleep'!$B$2:$B$468,'[1]Daily Sleep'!$D$2:$D$468,"")</f>
        <v>7.6333333333333337</v>
      </c>
    </row>
    <row r="422" spans="1:16" x14ac:dyDescent="0.35">
      <c r="A422">
        <v>8378563200</v>
      </c>
      <c r="B422" s="1">
        <v>42468</v>
      </c>
      <c r="C422">
        <v>8350</v>
      </c>
      <c r="D422">
        <v>6.6199998855590803</v>
      </c>
      <c r="E422">
        <v>6.6199998855590803</v>
      </c>
      <c r="F422">
        <v>2.0921471118927002</v>
      </c>
      <c r="G422">
        <v>1.4900000095367401</v>
      </c>
      <c r="H422">
        <v>0.52999997138977095</v>
      </c>
      <c r="I422">
        <v>4.6100001335143999</v>
      </c>
      <c r="J422">
        <v>0</v>
      </c>
      <c r="K422">
        <v>72</v>
      </c>
      <c r="L422">
        <v>10</v>
      </c>
      <c r="M422">
        <v>167</v>
      </c>
      <c r="N422">
        <v>868</v>
      </c>
      <c r="O422">
        <v>3713</v>
      </c>
      <c r="P422" s="3" cm="1">
        <f t="array" ref="P422">_xlfn.XLOOKUP(A422&amp;B422,'[1]Daily Sleep'!$A$2:$A$468&amp;'[1]Daily Sleep'!$B$2:$B$468,'[1]Daily Sleep'!$D$2:$D$468,"")</f>
        <v>5.0333333333333332</v>
      </c>
    </row>
    <row r="423" spans="1:16" x14ac:dyDescent="0.35">
      <c r="A423">
        <v>8378563200</v>
      </c>
      <c r="B423" s="1">
        <v>42469</v>
      </c>
      <c r="C423">
        <v>2240</v>
      </c>
      <c r="D423">
        <v>1.7799999713897701</v>
      </c>
      <c r="E423">
        <v>1.7799999713897701</v>
      </c>
      <c r="F423">
        <v>0</v>
      </c>
      <c r="G423">
        <v>0</v>
      </c>
      <c r="H423">
        <v>0</v>
      </c>
      <c r="I423">
        <v>1.7799999713897701</v>
      </c>
      <c r="J423">
        <v>0</v>
      </c>
      <c r="K423">
        <v>0</v>
      </c>
      <c r="L423">
        <v>0</v>
      </c>
      <c r="M423">
        <v>110</v>
      </c>
      <c r="N423">
        <v>843</v>
      </c>
      <c r="O423">
        <v>2606</v>
      </c>
      <c r="P423" s="3" cm="1">
        <f t="array" ref="P423">_xlfn.XLOOKUP(A423&amp;B423,'[1]Daily Sleep'!$A$2:$A$468&amp;'[1]Daily Sleep'!$B$2:$B$468,'[1]Daily Sleep'!$D$2:$D$468,"")</f>
        <v>6.75</v>
      </c>
    </row>
    <row r="424" spans="1:16" x14ac:dyDescent="0.35">
      <c r="A424">
        <v>8378563200</v>
      </c>
      <c r="B424" s="1">
        <v>42470</v>
      </c>
      <c r="C424">
        <v>2631</v>
      </c>
      <c r="D424">
        <v>2.0899999141693102</v>
      </c>
      <c r="E424">
        <v>2.0899999141693102</v>
      </c>
      <c r="F424">
        <v>0</v>
      </c>
      <c r="G424">
        <v>0</v>
      </c>
      <c r="H424">
        <v>0</v>
      </c>
      <c r="I424">
        <v>2.0899999141693102</v>
      </c>
      <c r="J424">
        <v>0</v>
      </c>
      <c r="K424">
        <v>0</v>
      </c>
      <c r="L424">
        <v>0</v>
      </c>
      <c r="M424">
        <v>117</v>
      </c>
      <c r="N424">
        <v>727</v>
      </c>
      <c r="O424">
        <v>2624</v>
      </c>
      <c r="P424" s="3" cm="1">
        <f t="array" ref="P424">_xlfn.XLOOKUP(A424&amp;B424,'[1]Daily Sleep'!$A$2:$A$468&amp;'[1]Daily Sleep'!$B$2:$B$468,'[1]Daily Sleep'!$D$2:$D$468,"")</f>
        <v>9.4666666666666668</v>
      </c>
    </row>
    <row r="425" spans="1:16" x14ac:dyDescent="0.35">
      <c r="A425">
        <v>8378563200</v>
      </c>
      <c r="B425" s="1">
        <v>42471</v>
      </c>
      <c r="C425">
        <v>8837</v>
      </c>
      <c r="D425">
        <v>7.0100002288818404</v>
      </c>
      <c r="E425">
        <v>7.0100002288818404</v>
      </c>
      <c r="F425">
        <v>2.0921471118927002</v>
      </c>
      <c r="G425">
        <v>1.53999996185303</v>
      </c>
      <c r="H425">
        <v>0.87999999523162797</v>
      </c>
      <c r="I425">
        <v>4.5900001525878897</v>
      </c>
      <c r="J425">
        <v>0</v>
      </c>
      <c r="K425">
        <v>74</v>
      </c>
      <c r="L425">
        <v>17</v>
      </c>
      <c r="M425">
        <v>182</v>
      </c>
      <c r="N425">
        <v>811</v>
      </c>
      <c r="O425">
        <v>3775</v>
      </c>
      <c r="P425" s="3" cm="1">
        <f t="array" ref="P425">_xlfn.XLOOKUP(A425&amp;B425,'[1]Daily Sleep'!$A$2:$A$468&amp;'[1]Daily Sleep'!$B$2:$B$468,'[1]Daily Sleep'!$D$2:$D$468,"")</f>
        <v>5.5</v>
      </c>
    </row>
    <row r="426" spans="1:16" x14ac:dyDescent="0.35">
      <c r="A426">
        <v>8378563200</v>
      </c>
      <c r="B426" s="1">
        <v>42472</v>
      </c>
      <c r="C426">
        <v>3246</v>
      </c>
      <c r="D426">
        <v>2.5699999332428001</v>
      </c>
      <c r="E426">
        <v>2.5699999332428001</v>
      </c>
      <c r="F426">
        <v>2.2530810832977299</v>
      </c>
      <c r="G426">
        <v>0.82999998331069902</v>
      </c>
      <c r="H426">
        <v>0.70999997854232799</v>
      </c>
      <c r="I426">
        <v>1.0299999713897701</v>
      </c>
      <c r="J426">
        <v>0</v>
      </c>
      <c r="K426">
        <v>65</v>
      </c>
      <c r="L426">
        <v>15</v>
      </c>
      <c r="M426">
        <v>49</v>
      </c>
      <c r="N426">
        <v>243</v>
      </c>
      <c r="O426">
        <v>1882</v>
      </c>
      <c r="P426" s="3" cm="1">
        <f t="array" ref="P426">_xlfn.XLOOKUP(A426&amp;B426,'[1]Daily Sleep'!$A$2:$A$468&amp;'[1]Daily Sleep'!$B$2:$B$468,'[1]Daily Sleep'!$D$2:$D$468,"")</f>
        <v>4.1166666666666663</v>
      </c>
    </row>
    <row r="427" spans="1:16" x14ac:dyDescent="0.35">
      <c r="A427">
        <v>8583815059</v>
      </c>
      <c r="B427" s="1">
        <v>42461</v>
      </c>
      <c r="C427">
        <v>2174</v>
      </c>
      <c r="D427">
        <v>1.70000004768372</v>
      </c>
      <c r="E427">
        <v>1.70000004768372</v>
      </c>
      <c r="F427">
        <v>0</v>
      </c>
      <c r="G427">
        <v>0</v>
      </c>
      <c r="H427">
        <v>0</v>
      </c>
      <c r="I427">
        <v>1.70000004768372</v>
      </c>
      <c r="J427">
        <v>0</v>
      </c>
      <c r="K427">
        <v>0</v>
      </c>
      <c r="L427">
        <v>0</v>
      </c>
      <c r="M427">
        <v>112</v>
      </c>
      <c r="N427">
        <v>1328</v>
      </c>
      <c r="O427">
        <v>2360</v>
      </c>
      <c r="P427" s="3" t="str" cm="1">
        <f t="array" ref="P427">_xlfn.XLOOKUP(A427&amp;B427,'[1]Daily Sleep'!$A$2:$A$468&amp;'[1]Daily Sleep'!$B$2:$B$468,'[1]Daily Sleep'!$D$2:$D$468,"")</f>
        <v/>
      </c>
    </row>
    <row r="428" spans="1:16" x14ac:dyDescent="0.35">
      <c r="A428">
        <v>8583815059</v>
      </c>
      <c r="B428" s="1">
        <v>42462</v>
      </c>
      <c r="C428">
        <v>3494</v>
      </c>
      <c r="D428">
        <v>2.7300000190734899</v>
      </c>
      <c r="E428">
        <v>2.7300000190734899</v>
      </c>
      <c r="F428">
        <v>0</v>
      </c>
      <c r="G428">
        <v>0</v>
      </c>
      <c r="H428">
        <v>0</v>
      </c>
      <c r="I428">
        <v>2.6900000572204599</v>
      </c>
      <c r="J428">
        <v>0</v>
      </c>
      <c r="K428">
        <v>0</v>
      </c>
      <c r="L428">
        <v>0</v>
      </c>
      <c r="M428">
        <v>166</v>
      </c>
      <c r="N428">
        <v>1274</v>
      </c>
      <c r="O428">
        <v>2517</v>
      </c>
      <c r="P428" s="3" t="str" cm="1">
        <f t="array" ref="P428">_xlfn.XLOOKUP(A428&amp;B428,'[1]Daily Sleep'!$A$2:$A$468&amp;'[1]Daily Sleep'!$B$2:$B$468,'[1]Daily Sleep'!$D$2:$D$468,"")</f>
        <v/>
      </c>
    </row>
    <row r="429" spans="1:16" x14ac:dyDescent="0.35">
      <c r="A429">
        <v>8583815059</v>
      </c>
      <c r="B429" s="1">
        <v>42463</v>
      </c>
      <c r="C429">
        <v>2380</v>
      </c>
      <c r="D429">
        <v>1.8600000143051101</v>
      </c>
      <c r="E429">
        <v>1.8600000143051101</v>
      </c>
      <c r="F429">
        <v>0</v>
      </c>
      <c r="G429">
        <v>0</v>
      </c>
      <c r="H429">
        <v>0</v>
      </c>
      <c r="I429">
        <v>1.8600000143051101</v>
      </c>
      <c r="J429">
        <v>0</v>
      </c>
      <c r="K429">
        <v>0</v>
      </c>
      <c r="L429">
        <v>0</v>
      </c>
      <c r="M429">
        <v>131</v>
      </c>
      <c r="N429">
        <v>1309</v>
      </c>
      <c r="O429">
        <v>2400</v>
      </c>
      <c r="P429" s="3" t="str" cm="1">
        <f t="array" ref="P429">_xlfn.XLOOKUP(A429&amp;B429,'[1]Daily Sleep'!$A$2:$A$468&amp;'[1]Daily Sleep'!$B$2:$B$468,'[1]Daily Sleep'!$D$2:$D$468,"")</f>
        <v/>
      </c>
    </row>
    <row r="430" spans="1:16" x14ac:dyDescent="0.35">
      <c r="A430">
        <v>8583815059</v>
      </c>
      <c r="B430" s="1">
        <v>42464</v>
      </c>
      <c r="C430">
        <v>3159</v>
      </c>
      <c r="D430">
        <v>2.46000003814697</v>
      </c>
      <c r="E430">
        <v>2.46000003814697</v>
      </c>
      <c r="F430">
        <v>0</v>
      </c>
      <c r="G430">
        <v>0</v>
      </c>
      <c r="H430">
        <v>0</v>
      </c>
      <c r="I430">
        <v>2.46000003814697</v>
      </c>
      <c r="J430">
        <v>0</v>
      </c>
      <c r="K430">
        <v>0</v>
      </c>
      <c r="L430">
        <v>0</v>
      </c>
      <c r="M430">
        <v>147</v>
      </c>
      <c r="N430">
        <v>1293</v>
      </c>
      <c r="O430">
        <v>2462</v>
      </c>
      <c r="P430" s="3" t="str" cm="1">
        <f t="array" ref="P430">_xlfn.XLOOKUP(A430&amp;B430,'[1]Daily Sleep'!$A$2:$A$468&amp;'[1]Daily Sleep'!$B$2:$B$468,'[1]Daily Sleep'!$D$2:$D$468,"")</f>
        <v/>
      </c>
    </row>
    <row r="431" spans="1:16" x14ac:dyDescent="0.35">
      <c r="A431">
        <v>8583815059</v>
      </c>
      <c r="B431" s="1">
        <v>42465</v>
      </c>
      <c r="C431">
        <v>6835</v>
      </c>
      <c r="D431">
        <v>5.3299999237060502</v>
      </c>
      <c r="E431">
        <v>5.3299999237060502</v>
      </c>
      <c r="F431">
        <v>0</v>
      </c>
      <c r="G431">
        <v>0.37000000476837203</v>
      </c>
      <c r="H431">
        <v>0.730000019073486</v>
      </c>
      <c r="I431">
        <v>4.2399997711181596</v>
      </c>
      <c r="J431">
        <v>0</v>
      </c>
      <c r="K431">
        <v>5</v>
      </c>
      <c r="L431">
        <v>15</v>
      </c>
      <c r="M431">
        <v>212</v>
      </c>
      <c r="N431">
        <v>1208</v>
      </c>
      <c r="O431">
        <v>2786</v>
      </c>
      <c r="P431" s="3" t="str" cm="1">
        <f t="array" ref="P431">_xlfn.XLOOKUP(A431&amp;B431,'[1]Daily Sleep'!$A$2:$A$468&amp;'[1]Daily Sleep'!$B$2:$B$468,'[1]Daily Sleep'!$D$2:$D$468,"")</f>
        <v/>
      </c>
    </row>
    <row r="432" spans="1:16" x14ac:dyDescent="0.35">
      <c r="A432">
        <v>8583815059</v>
      </c>
      <c r="B432" s="1">
        <v>42466</v>
      </c>
      <c r="C432">
        <v>2098</v>
      </c>
      <c r="D432">
        <v>1.6399999856948899</v>
      </c>
      <c r="E432">
        <v>1.6399999856948899</v>
      </c>
      <c r="F432">
        <v>0</v>
      </c>
      <c r="G432">
        <v>0</v>
      </c>
      <c r="H432">
        <v>0</v>
      </c>
      <c r="I432">
        <v>1.62999999523163</v>
      </c>
      <c r="J432">
        <v>0</v>
      </c>
      <c r="K432">
        <v>0</v>
      </c>
      <c r="L432">
        <v>0</v>
      </c>
      <c r="M432">
        <v>112</v>
      </c>
      <c r="N432">
        <v>1328</v>
      </c>
      <c r="O432">
        <v>2354</v>
      </c>
      <c r="P432" s="3" t="str" cm="1">
        <f t="array" ref="P432">_xlfn.XLOOKUP(A432&amp;B432,'[1]Daily Sleep'!$A$2:$A$468&amp;'[1]Daily Sleep'!$B$2:$B$468,'[1]Daily Sleep'!$D$2:$D$468,"")</f>
        <v/>
      </c>
    </row>
    <row r="433" spans="1:16" x14ac:dyDescent="0.35">
      <c r="A433">
        <v>8583815059</v>
      </c>
      <c r="B433" s="1">
        <v>42467</v>
      </c>
      <c r="C433">
        <v>2816</v>
      </c>
      <c r="D433">
        <v>2.2000000476837198</v>
      </c>
      <c r="E433">
        <v>2.2000000476837198</v>
      </c>
      <c r="F433">
        <v>0</v>
      </c>
      <c r="G433">
        <v>0</v>
      </c>
      <c r="H433">
        <v>0</v>
      </c>
      <c r="I433">
        <v>2.2000000476837198</v>
      </c>
      <c r="J433">
        <v>0</v>
      </c>
      <c r="K433">
        <v>0</v>
      </c>
      <c r="L433">
        <v>0</v>
      </c>
      <c r="M433">
        <v>138</v>
      </c>
      <c r="N433">
        <v>1302</v>
      </c>
      <c r="O433">
        <v>2437</v>
      </c>
      <c r="P433" s="3" t="str" cm="1">
        <f t="array" ref="P433">_xlfn.XLOOKUP(A433&amp;B433,'[1]Daily Sleep'!$A$2:$A$468&amp;'[1]Daily Sleep'!$B$2:$B$468,'[1]Daily Sleep'!$D$2:$D$468,"")</f>
        <v/>
      </c>
    </row>
    <row r="434" spans="1:16" x14ac:dyDescent="0.35">
      <c r="A434">
        <v>8583815059</v>
      </c>
      <c r="B434" s="1">
        <v>42468</v>
      </c>
      <c r="C434">
        <v>1408</v>
      </c>
      <c r="D434">
        <v>1.1000000238418599</v>
      </c>
      <c r="E434">
        <v>1.1000000238418599</v>
      </c>
      <c r="F434">
        <v>0</v>
      </c>
      <c r="G434">
        <v>0</v>
      </c>
      <c r="H434">
        <v>0</v>
      </c>
      <c r="I434">
        <v>1.1000000238418599</v>
      </c>
      <c r="J434">
        <v>0</v>
      </c>
      <c r="K434">
        <v>0</v>
      </c>
      <c r="L434">
        <v>0</v>
      </c>
      <c r="M434">
        <v>79</v>
      </c>
      <c r="N434">
        <v>1052</v>
      </c>
      <c r="O434">
        <v>1814</v>
      </c>
      <c r="P434" s="3" t="str" cm="1">
        <f t="array" ref="P434">_xlfn.XLOOKUP(A434&amp;B434,'[1]Daily Sleep'!$A$2:$A$468&amp;'[1]Daily Sleep'!$B$2:$B$468,'[1]Daily Sleep'!$D$2:$D$468,"")</f>
        <v/>
      </c>
    </row>
    <row r="435" spans="1:16" x14ac:dyDescent="0.35">
      <c r="A435">
        <v>8792009665</v>
      </c>
      <c r="B435" s="1">
        <v>42461</v>
      </c>
      <c r="C435">
        <v>4592</v>
      </c>
      <c r="D435">
        <v>2.9400000572204599</v>
      </c>
      <c r="E435">
        <v>2.9400000572204599</v>
      </c>
      <c r="F435">
        <v>0</v>
      </c>
      <c r="G435">
        <v>0.10000000149011599</v>
      </c>
      <c r="H435">
        <v>0.140000000596046</v>
      </c>
      <c r="I435">
        <v>2.7000000476837198</v>
      </c>
      <c r="J435">
        <v>0</v>
      </c>
      <c r="K435">
        <v>4</v>
      </c>
      <c r="L435">
        <v>8</v>
      </c>
      <c r="M435">
        <v>176</v>
      </c>
      <c r="N435">
        <v>748</v>
      </c>
      <c r="O435">
        <v>2260</v>
      </c>
      <c r="P435" s="3" cm="1">
        <f t="array" ref="P435">_xlfn.XLOOKUP(A435&amp;B435,'[1]Daily Sleep'!$A$2:$A$468&amp;'[1]Daily Sleep'!$B$2:$B$468,'[1]Daily Sleep'!$D$2:$D$468,"")</f>
        <v>8</v>
      </c>
    </row>
    <row r="436" spans="1:16" x14ac:dyDescent="0.35">
      <c r="A436">
        <v>8792009665</v>
      </c>
      <c r="B436" s="1">
        <v>42462</v>
      </c>
      <c r="C436">
        <v>8452</v>
      </c>
      <c r="D436">
        <v>5.4099998474121103</v>
      </c>
      <c r="E436">
        <v>5.4099998474121103</v>
      </c>
      <c r="F436">
        <v>0</v>
      </c>
      <c r="G436">
        <v>0.259999990463257</v>
      </c>
      <c r="H436">
        <v>0.38999998569488498</v>
      </c>
      <c r="I436">
        <v>4.7600002288818404</v>
      </c>
      <c r="J436">
        <v>0</v>
      </c>
      <c r="K436">
        <v>9</v>
      </c>
      <c r="L436">
        <v>24</v>
      </c>
      <c r="M436">
        <v>328</v>
      </c>
      <c r="N436">
        <v>1079</v>
      </c>
      <c r="O436">
        <v>3004</v>
      </c>
      <c r="P436" s="3" t="str" cm="1">
        <f t="array" ref="P436">_xlfn.XLOOKUP(A436&amp;B436,'[1]Daily Sleep'!$A$2:$A$468&amp;'[1]Daily Sleep'!$B$2:$B$468,'[1]Daily Sleep'!$D$2:$D$468,"")</f>
        <v/>
      </c>
    </row>
    <row r="437" spans="1:16" x14ac:dyDescent="0.35">
      <c r="A437">
        <v>8792009665</v>
      </c>
      <c r="B437" s="1">
        <v>42463</v>
      </c>
      <c r="C437">
        <v>7238</v>
      </c>
      <c r="D437">
        <v>4.6300001144409197</v>
      </c>
      <c r="E437">
        <v>4.6300001144409197</v>
      </c>
      <c r="F437">
        <v>0</v>
      </c>
      <c r="G437">
        <v>0.109999999403954</v>
      </c>
      <c r="H437">
        <v>0.230000004172325</v>
      </c>
      <c r="I437">
        <v>4.28999996185303</v>
      </c>
      <c r="J437">
        <v>0</v>
      </c>
      <c r="K437">
        <v>2</v>
      </c>
      <c r="L437">
        <v>6</v>
      </c>
      <c r="M437">
        <v>279</v>
      </c>
      <c r="N437">
        <v>636</v>
      </c>
      <c r="O437">
        <v>2667</v>
      </c>
      <c r="P437" s="3" cm="1">
        <f t="array" ref="P437">_xlfn.XLOOKUP(A437&amp;B437,'[1]Daily Sleep'!$A$2:$A$468&amp;'[1]Daily Sleep'!$B$2:$B$468,'[1]Daily Sleep'!$D$2:$D$468,"")</f>
        <v>7.9833333333333334</v>
      </c>
    </row>
    <row r="438" spans="1:16" x14ac:dyDescent="0.35">
      <c r="A438">
        <v>8792009665</v>
      </c>
      <c r="B438" s="1">
        <v>42464</v>
      </c>
      <c r="C438">
        <v>3821</v>
      </c>
      <c r="D438">
        <v>2.4500000476837198</v>
      </c>
      <c r="E438">
        <v>2.4500000476837198</v>
      </c>
      <c r="F438">
        <v>0</v>
      </c>
      <c r="G438">
        <v>0</v>
      </c>
      <c r="H438">
        <v>0.21999999880790699</v>
      </c>
      <c r="I438">
        <v>2.2300000190734899</v>
      </c>
      <c r="J438">
        <v>0</v>
      </c>
      <c r="K438">
        <v>0</v>
      </c>
      <c r="L438">
        <v>9</v>
      </c>
      <c r="M438">
        <v>161</v>
      </c>
      <c r="N438">
        <v>675</v>
      </c>
      <c r="O438">
        <v>2229</v>
      </c>
      <c r="P438" s="3" cm="1">
        <f t="array" ref="P438">_xlfn.XLOOKUP(A438&amp;B438,'[1]Daily Sleep'!$A$2:$A$468&amp;'[1]Daily Sleep'!$B$2:$B$468,'[1]Daily Sleep'!$D$2:$D$468,"")</f>
        <v>9.4333333333333336</v>
      </c>
    </row>
    <row r="439" spans="1:16" x14ac:dyDescent="0.35">
      <c r="A439">
        <v>8792009665</v>
      </c>
      <c r="B439" s="1">
        <v>42465</v>
      </c>
      <c r="C439">
        <v>2332</v>
      </c>
      <c r="D439">
        <v>1.4900000095367401</v>
      </c>
      <c r="E439">
        <v>1.4900000095367401</v>
      </c>
      <c r="F439">
        <v>0</v>
      </c>
      <c r="G439">
        <v>9.9999997764825804E-3</v>
      </c>
      <c r="H439">
        <v>0.18000000715255701</v>
      </c>
      <c r="I439">
        <v>1.29999995231628</v>
      </c>
      <c r="J439">
        <v>0</v>
      </c>
      <c r="K439">
        <v>1</v>
      </c>
      <c r="L439">
        <v>10</v>
      </c>
      <c r="M439">
        <v>111</v>
      </c>
      <c r="N439">
        <v>904</v>
      </c>
      <c r="O439">
        <v>2100</v>
      </c>
      <c r="P439" s="3" cm="1">
        <f t="array" ref="P439">_xlfn.XLOOKUP(A439&amp;B439,'[1]Daily Sleep'!$A$2:$A$468&amp;'[1]Daily Sleep'!$B$2:$B$468,'[1]Daily Sleep'!$D$2:$D$468,"")</f>
        <v>6.4</v>
      </c>
    </row>
    <row r="440" spans="1:16" x14ac:dyDescent="0.35">
      <c r="A440">
        <v>8792009665</v>
      </c>
      <c r="B440" s="1">
        <v>42466</v>
      </c>
      <c r="C440">
        <v>2121</v>
      </c>
      <c r="D440">
        <v>1.3600000143051101</v>
      </c>
      <c r="E440">
        <v>1.3600000143051101</v>
      </c>
      <c r="F440">
        <v>0</v>
      </c>
      <c r="G440">
        <v>0</v>
      </c>
      <c r="H440">
        <v>0</v>
      </c>
      <c r="I440">
        <v>1.3600000143051101</v>
      </c>
      <c r="J440">
        <v>0</v>
      </c>
      <c r="K440">
        <v>0</v>
      </c>
      <c r="L440">
        <v>0</v>
      </c>
      <c r="M440">
        <v>122</v>
      </c>
      <c r="N440">
        <v>855</v>
      </c>
      <c r="O440">
        <v>2114</v>
      </c>
      <c r="P440" s="3" cm="1">
        <f t="array" ref="P440">_xlfn.XLOOKUP(A440&amp;B440,'[1]Daily Sleep'!$A$2:$A$468&amp;'[1]Daily Sleep'!$B$2:$B$468,'[1]Daily Sleep'!$D$2:$D$468,"")</f>
        <v>7.1166666666666663</v>
      </c>
    </row>
    <row r="441" spans="1:16" x14ac:dyDescent="0.35">
      <c r="A441">
        <v>8792009665</v>
      </c>
      <c r="B441" s="1">
        <v>42467</v>
      </c>
      <c r="C441">
        <v>1291</v>
      </c>
      <c r="D441">
        <v>0.82999998331069902</v>
      </c>
      <c r="E441">
        <v>0.82999998331069902</v>
      </c>
      <c r="F441">
        <v>0</v>
      </c>
      <c r="G441">
        <v>0</v>
      </c>
      <c r="H441">
        <v>0</v>
      </c>
      <c r="I441">
        <v>0.82999998331069902</v>
      </c>
      <c r="J441">
        <v>0</v>
      </c>
      <c r="K441">
        <v>0</v>
      </c>
      <c r="L441">
        <v>0</v>
      </c>
      <c r="M441">
        <v>77</v>
      </c>
      <c r="N441">
        <v>888</v>
      </c>
      <c r="O441">
        <v>1961</v>
      </c>
      <c r="P441" s="3" cm="1">
        <f t="array" ref="P441">_xlfn.XLOOKUP(A441&amp;B441,'[1]Daily Sleep'!$A$2:$A$468&amp;'[1]Daily Sleep'!$B$2:$B$468,'[1]Daily Sleep'!$D$2:$D$468,"")</f>
        <v>7.4333333333333336</v>
      </c>
    </row>
    <row r="442" spans="1:16" x14ac:dyDescent="0.35">
      <c r="A442">
        <v>8792009665</v>
      </c>
      <c r="B442" s="1">
        <v>42468</v>
      </c>
      <c r="C442">
        <v>1467</v>
      </c>
      <c r="D442">
        <v>0.93999999761581399</v>
      </c>
      <c r="E442">
        <v>0.93999999761581399</v>
      </c>
      <c r="F442">
        <v>0</v>
      </c>
      <c r="G442">
        <v>0.10000000149011599</v>
      </c>
      <c r="H442">
        <v>0.20999999344348899</v>
      </c>
      <c r="I442">
        <v>0.62999999523162797</v>
      </c>
      <c r="J442">
        <v>0</v>
      </c>
      <c r="K442">
        <v>2</v>
      </c>
      <c r="L442">
        <v>8</v>
      </c>
      <c r="M442">
        <v>71</v>
      </c>
      <c r="N442">
        <v>912</v>
      </c>
      <c r="O442">
        <v>1953</v>
      </c>
      <c r="P442" s="3" cm="1">
        <f t="array" ref="P442">_xlfn.XLOOKUP(A442&amp;B442,'[1]Daily Sleep'!$A$2:$A$468&amp;'[1]Daily Sleep'!$B$2:$B$468,'[1]Daily Sleep'!$D$2:$D$468,"")</f>
        <v>7.0666666666666664</v>
      </c>
    </row>
    <row r="443" spans="1:16" x14ac:dyDescent="0.35">
      <c r="A443">
        <v>8792009665</v>
      </c>
      <c r="B443" s="1">
        <v>42469</v>
      </c>
      <c r="C443">
        <v>1022</v>
      </c>
      <c r="D443">
        <v>0.64999997615814198</v>
      </c>
      <c r="E443">
        <v>0.64999997615814198</v>
      </c>
      <c r="F443">
        <v>0</v>
      </c>
      <c r="G443">
        <v>0</v>
      </c>
      <c r="H443">
        <v>0</v>
      </c>
      <c r="I443">
        <v>0.64999997615814198</v>
      </c>
      <c r="J443">
        <v>0</v>
      </c>
      <c r="K443">
        <v>0</v>
      </c>
      <c r="L443">
        <v>0</v>
      </c>
      <c r="M443">
        <v>63</v>
      </c>
      <c r="N443">
        <v>739</v>
      </c>
      <c r="O443">
        <v>1890</v>
      </c>
      <c r="P443" s="3" cm="1">
        <f t="array" ref="P443">_xlfn.XLOOKUP(A443&amp;B443,'[1]Daily Sleep'!$A$2:$A$468&amp;'[1]Daily Sleep'!$B$2:$B$468,'[1]Daily Sleep'!$D$2:$D$468,"")</f>
        <v>10.016666666666667</v>
      </c>
    </row>
    <row r="444" spans="1:16" x14ac:dyDescent="0.35">
      <c r="A444">
        <v>8792009665</v>
      </c>
      <c r="B444" s="1">
        <v>42470</v>
      </c>
      <c r="C444">
        <v>4605</v>
      </c>
      <c r="D444">
        <v>2.9500000476837198</v>
      </c>
      <c r="E444">
        <v>2.9500000476837198</v>
      </c>
      <c r="F444">
        <v>0</v>
      </c>
      <c r="G444">
        <v>0</v>
      </c>
      <c r="H444">
        <v>0</v>
      </c>
      <c r="I444">
        <v>2.9500000476837198</v>
      </c>
      <c r="J444">
        <v>0</v>
      </c>
      <c r="K444">
        <v>0</v>
      </c>
      <c r="L444">
        <v>0</v>
      </c>
      <c r="M444">
        <v>179</v>
      </c>
      <c r="N444">
        <v>1261</v>
      </c>
      <c r="O444">
        <v>2253</v>
      </c>
      <c r="P444" s="3" t="str" cm="1">
        <f t="array" ref="P444">_xlfn.XLOOKUP(A444&amp;B444,'[1]Daily Sleep'!$A$2:$A$468&amp;'[1]Daily Sleep'!$B$2:$B$468,'[1]Daily Sleep'!$D$2:$D$468,"")</f>
        <v/>
      </c>
    </row>
    <row r="445" spans="1:16" x14ac:dyDescent="0.35">
      <c r="A445">
        <v>8792009665</v>
      </c>
      <c r="B445" s="1">
        <v>42471</v>
      </c>
      <c r="C445">
        <v>178</v>
      </c>
      <c r="D445">
        <v>0.109999999403954</v>
      </c>
      <c r="E445">
        <v>0.109999999403954</v>
      </c>
      <c r="F445">
        <v>0</v>
      </c>
      <c r="G445">
        <v>0</v>
      </c>
      <c r="H445">
        <v>0</v>
      </c>
      <c r="I445">
        <v>0.109999999403954</v>
      </c>
      <c r="J445">
        <v>0</v>
      </c>
      <c r="K445">
        <v>0</v>
      </c>
      <c r="L445">
        <v>0</v>
      </c>
      <c r="M445">
        <v>12</v>
      </c>
      <c r="N445">
        <v>1428</v>
      </c>
      <c r="O445">
        <v>1725</v>
      </c>
      <c r="P445" s="3" t="str" cm="1">
        <f t="array" ref="P445">_xlfn.XLOOKUP(A445&amp;B445,'[1]Daily Sleep'!$A$2:$A$468&amp;'[1]Daily Sleep'!$B$2:$B$468,'[1]Daily Sleep'!$D$2:$D$468,"")</f>
        <v/>
      </c>
    </row>
    <row r="446" spans="1:16" x14ac:dyDescent="0.35">
      <c r="A446">
        <v>8792009665</v>
      </c>
      <c r="B446" s="1">
        <v>42472</v>
      </c>
      <c r="C446">
        <v>20</v>
      </c>
      <c r="D446">
        <v>9.9999997764825804E-3</v>
      </c>
      <c r="E446">
        <v>9.9999997764825804E-3</v>
      </c>
      <c r="F446">
        <v>0</v>
      </c>
      <c r="G446">
        <v>0</v>
      </c>
      <c r="H446">
        <v>0</v>
      </c>
      <c r="I446">
        <v>9.9999997764825804E-3</v>
      </c>
      <c r="J446">
        <v>0</v>
      </c>
      <c r="K446">
        <v>0</v>
      </c>
      <c r="L446">
        <v>0</v>
      </c>
      <c r="M446">
        <v>6</v>
      </c>
      <c r="N446">
        <v>598</v>
      </c>
      <c r="O446">
        <v>728</v>
      </c>
      <c r="P446" s="3" t="str" cm="1">
        <f t="array" ref="P446">_xlfn.XLOOKUP(A446&amp;B446,'[1]Daily Sleep'!$A$2:$A$468&amp;'[1]Daily Sleep'!$B$2:$B$468,'[1]Daily Sleep'!$D$2:$D$468,"")</f>
        <v/>
      </c>
    </row>
    <row r="447" spans="1:16" x14ac:dyDescent="0.35">
      <c r="A447">
        <v>8877689391</v>
      </c>
      <c r="B447" s="1">
        <v>42461</v>
      </c>
      <c r="C447">
        <v>18700</v>
      </c>
      <c r="D447">
        <v>15.819999694824199</v>
      </c>
      <c r="E447">
        <v>15.819999694824199</v>
      </c>
      <c r="F447">
        <v>0</v>
      </c>
      <c r="G447">
        <v>8.6999998092651403</v>
      </c>
      <c r="H447">
        <v>0.15999999642372101</v>
      </c>
      <c r="I447">
        <v>6.9099998474121103</v>
      </c>
      <c r="J447">
        <v>0</v>
      </c>
      <c r="K447">
        <v>67</v>
      </c>
      <c r="L447">
        <v>3</v>
      </c>
      <c r="M447">
        <v>247</v>
      </c>
      <c r="N447">
        <v>1123</v>
      </c>
      <c r="O447">
        <v>3527</v>
      </c>
      <c r="P447" s="3" t="str" cm="1">
        <f t="array" ref="P447">_xlfn.XLOOKUP(A447&amp;B447,'[1]Daily Sleep'!$A$2:$A$468&amp;'[1]Daily Sleep'!$B$2:$B$468,'[1]Daily Sleep'!$D$2:$D$468,"")</f>
        <v/>
      </c>
    </row>
    <row r="448" spans="1:16" x14ac:dyDescent="0.35">
      <c r="A448">
        <v>8877689391</v>
      </c>
      <c r="B448" s="1">
        <v>42462</v>
      </c>
      <c r="C448">
        <v>27572</v>
      </c>
      <c r="D448">
        <v>23.389999389648398</v>
      </c>
      <c r="E448">
        <v>23.389999389648398</v>
      </c>
      <c r="F448">
        <v>0</v>
      </c>
      <c r="G448">
        <v>14.7200002670288</v>
      </c>
      <c r="H448">
        <v>1.21000003814697</v>
      </c>
      <c r="I448">
        <v>7.3400001525878897</v>
      </c>
      <c r="J448">
        <v>9.9999997764825804E-3</v>
      </c>
      <c r="K448">
        <v>116</v>
      </c>
      <c r="L448">
        <v>24</v>
      </c>
      <c r="M448">
        <v>260</v>
      </c>
      <c r="N448">
        <v>1040</v>
      </c>
      <c r="O448">
        <v>4220</v>
      </c>
      <c r="P448" s="3" t="str" cm="1">
        <f t="array" ref="P448">_xlfn.XLOOKUP(A448&amp;B448,'[1]Daily Sleep'!$A$2:$A$468&amp;'[1]Daily Sleep'!$B$2:$B$468,'[1]Daily Sleep'!$D$2:$D$468,"")</f>
        <v/>
      </c>
    </row>
    <row r="449" spans="1:16" x14ac:dyDescent="0.35">
      <c r="A449">
        <v>8877689391</v>
      </c>
      <c r="B449" s="1">
        <v>42463</v>
      </c>
      <c r="C449">
        <v>15260</v>
      </c>
      <c r="D449">
        <v>8.1899995803833008</v>
      </c>
      <c r="E449">
        <v>8.1899995803833008</v>
      </c>
      <c r="F449">
        <v>0</v>
      </c>
      <c r="G449">
        <v>1.79999995231628</v>
      </c>
      <c r="H449">
        <v>0.75</v>
      </c>
      <c r="I449">
        <v>5.5700001716613796</v>
      </c>
      <c r="J449">
        <v>0</v>
      </c>
      <c r="K449">
        <v>106</v>
      </c>
      <c r="L449">
        <v>17</v>
      </c>
      <c r="M449">
        <v>259</v>
      </c>
      <c r="N449">
        <v>1058</v>
      </c>
      <c r="O449">
        <v>3864</v>
      </c>
      <c r="P449" s="3" t="str" cm="1">
        <f t="array" ref="P449">_xlfn.XLOOKUP(A449&amp;B449,'[1]Daily Sleep'!$A$2:$A$468&amp;'[1]Daily Sleep'!$B$2:$B$468,'[1]Daily Sleep'!$D$2:$D$468,"")</f>
        <v/>
      </c>
    </row>
    <row r="450" spans="1:16" x14ac:dyDescent="0.35">
      <c r="A450">
        <v>8877689391</v>
      </c>
      <c r="B450" s="1">
        <v>42464</v>
      </c>
      <c r="C450">
        <v>20779</v>
      </c>
      <c r="D450">
        <v>18.409999847412099</v>
      </c>
      <c r="E450">
        <v>18.409999847412099</v>
      </c>
      <c r="F450">
        <v>0</v>
      </c>
      <c r="G450">
        <v>11.7299995422363</v>
      </c>
      <c r="H450">
        <v>0.64999997615814198</v>
      </c>
      <c r="I450">
        <v>6</v>
      </c>
      <c r="J450">
        <v>0</v>
      </c>
      <c r="K450">
        <v>78</v>
      </c>
      <c r="L450">
        <v>16</v>
      </c>
      <c r="M450">
        <v>208</v>
      </c>
      <c r="N450">
        <v>1138</v>
      </c>
      <c r="O450">
        <v>3662</v>
      </c>
      <c r="P450" s="3" t="str" cm="1">
        <f t="array" ref="P450">_xlfn.XLOOKUP(A450&amp;B450,'[1]Daily Sleep'!$A$2:$A$468&amp;'[1]Daily Sleep'!$B$2:$B$468,'[1]Daily Sleep'!$D$2:$D$468,"")</f>
        <v/>
      </c>
    </row>
    <row r="451" spans="1:16" x14ac:dyDescent="0.35">
      <c r="A451">
        <v>8877689391</v>
      </c>
      <c r="B451" s="1">
        <v>42465</v>
      </c>
      <c r="C451">
        <v>10695</v>
      </c>
      <c r="D451">
        <v>8.1199998855590803</v>
      </c>
      <c r="E451">
        <v>8.1199998855590803</v>
      </c>
      <c r="F451">
        <v>0</v>
      </c>
      <c r="G451">
        <v>0.769999980926514</v>
      </c>
      <c r="H451">
        <v>0.18000000715255701</v>
      </c>
      <c r="I451">
        <v>7.0900001525878897</v>
      </c>
      <c r="J451">
        <v>9.9999997764825804E-3</v>
      </c>
      <c r="K451">
        <v>10</v>
      </c>
      <c r="L451">
        <v>3</v>
      </c>
      <c r="M451">
        <v>246</v>
      </c>
      <c r="N451">
        <v>1181</v>
      </c>
      <c r="O451">
        <v>2834</v>
      </c>
      <c r="P451" s="3" t="str" cm="1">
        <f t="array" ref="P451">_xlfn.XLOOKUP(A451&amp;B451,'[1]Daily Sleep'!$A$2:$A$468&amp;'[1]Daily Sleep'!$B$2:$B$468,'[1]Daily Sleep'!$D$2:$D$468,"")</f>
        <v/>
      </c>
    </row>
    <row r="452" spans="1:16" x14ac:dyDescent="0.35">
      <c r="A452">
        <v>8877689391</v>
      </c>
      <c r="B452" s="1">
        <v>42466</v>
      </c>
      <c r="C452">
        <v>24136</v>
      </c>
      <c r="D452">
        <v>20.909999847412099</v>
      </c>
      <c r="E452">
        <v>20.909999847412099</v>
      </c>
      <c r="F452">
        <v>0</v>
      </c>
      <c r="G452">
        <v>12.2200002670288</v>
      </c>
      <c r="H452">
        <v>0.54000002145767201</v>
      </c>
      <c r="I452">
        <v>8.0799999237060494</v>
      </c>
      <c r="J452">
        <v>0</v>
      </c>
      <c r="K452">
        <v>87</v>
      </c>
      <c r="L452">
        <v>16</v>
      </c>
      <c r="M452">
        <v>318</v>
      </c>
      <c r="N452">
        <v>1019</v>
      </c>
      <c r="O452">
        <v>4039</v>
      </c>
      <c r="P452" s="3" t="str" cm="1">
        <f t="array" ref="P452">_xlfn.XLOOKUP(A452&amp;B452,'[1]Daily Sleep'!$A$2:$A$468&amp;'[1]Daily Sleep'!$B$2:$B$468,'[1]Daily Sleep'!$D$2:$D$468,"")</f>
        <v/>
      </c>
    </row>
    <row r="453" spans="1:16" x14ac:dyDescent="0.35">
      <c r="A453">
        <v>8877689391</v>
      </c>
      <c r="B453" s="1">
        <v>42467</v>
      </c>
      <c r="C453">
        <v>10910</v>
      </c>
      <c r="D453">
        <v>8.4200000762939506</v>
      </c>
      <c r="E453">
        <v>8.4200000762939506</v>
      </c>
      <c r="F453">
        <v>0</v>
      </c>
      <c r="G453">
        <v>2.96000003814697</v>
      </c>
      <c r="H453">
        <v>0.38999998569488498</v>
      </c>
      <c r="I453">
        <v>5.0300002098083496</v>
      </c>
      <c r="J453">
        <v>0</v>
      </c>
      <c r="K453">
        <v>32</v>
      </c>
      <c r="L453">
        <v>11</v>
      </c>
      <c r="M453">
        <v>212</v>
      </c>
      <c r="N453">
        <v>1185</v>
      </c>
      <c r="O453">
        <v>2947</v>
      </c>
      <c r="P453" s="3" t="str" cm="1">
        <f t="array" ref="P453">_xlfn.XLOOKUP(A453&amp;B453,'[1]Daily Sleep'!$A$2:$A$468&amp;'[1]Daily Sleep'!$B$2:$B$468,'[1]Daily Sleep'!$D$2:$D$468,"")</f>
        <v/>
      </c>
    </row>
    <row r="454" spans="1:16" x14ac:dyDescent="0.35">
      <c r="A454">
        <v>8877689391</v>
      </c>
      <c r="B454" s="1">
        <v>42468</v>
      </c>
      <c r="C454">
        <v>23014</v>
      </c>
      <c r="D454">
        <v>20.389999389648398</v>
      </c>
      <c r="E454">
        <v>20.389999389648398</v>
      </c>
      <c r="F454">
        <v>0</v>
      </c>
      <c r="G454">
        <v>11.1000003814697</v>
      </c>
      <c r="H454">
        <v>0.62999999523162797</v>
      </c>
      <c r="I454">
        <v>8.6199998855590803</v>
      </c>
      <c r="J454">
        <v>0</v>
      </c>
      <c r="K454">
        <v>70</v>
      </c>
      <c r="L454">
        <v>29</v>
      </c>
      <c r="M454">
        <v>359</v>
      </c>
      <c r="N454">
        <v>982</v>
      </c>
      <c r="O454">
        <v>4196</v>
      </c>
      <c r="P454" s="3" t="str" cm="1">
        <f t="array" ref="P454">_xlfn.XLOOKUP(A454&amp;B454,'[1]Daily Sleep'!$A$2:$A$468&amp;'[1]Daily Sleep'!$B$2:$B$468,'[1]Daily Sleep'!$D$2:$D$468,"")</f>
        <v/>
      </c>
    </row>
    <row r="455" spans="1:16" x14ac:dyDescent="0.35">
      <c r="A455">
        <v>8877689391</v>
      </c>
      <c r="B455" s="1">
        <v>42469</v>
      </c>
      <c r="C455">
        <v>16470</v>
      </c>
      <c r="D455">
        <v>8.0699996948242205</v>
      </c>
      <c r="E455">
        <v>8.0699996948242205</v>
      </c>
      <c r="F455">
        <v>0</v>
      </c>
      <c r="G455">
        <v>0</v>
      </c>
      <c r="H455">
        <v>1.9999999552965199E-2</v>
      </c>
      <c r="I455">
        <v>8.0200004577636701</v>
      </c>
      <c r="J455">
        <v>0</v>
      </c>
      <c r="K455">
        <v>90</v>
      </c>
      <c r="L455">
        <v>9</v>
      </c>
      <c r="M455">
        <v>289</v>
      </c>
      <c r="N455">
        <v>1052</v>
      </c>
      <c r="O455">
        <v>3841</v>
      </c>
      <c r="P455" s="3" t="str" cm="1">
        <f t="array" ref="P455">_xlfn.XLOOKUP(A455&amp;B455,'[1]Daily Sleep'!$A$2:$A$468&amp;'[1]Daily Sleep'!$B$2:$B$468,'[1]Daily Sleep'!$D$2:$D$468,"")</f>
        <v/>
      </c>
    </row>
    <row r="456" spans="1:16" x14ac:dyDescent="0.35">
      <c r="A456">
        <v>8877689391</v>
      </c>
      <c r="B456" s="1">
        <v>42470</v>
      </c>
      <c r="C456">
        <v>28497</v>
      </c>
      <c r="D456">
        <v>27.530000686645501</v>
      </c>
      <c r="E456">
        <v>27.530000686645501</v>
      </c>
      <c r="F456">
        <v>0</v>
      </c>
      <c r="G456">
        <v>21.920000076293899</v>
      </c>
      <c r="H456">
        <v>1.12000000476837</v>
      </c>
      <c r="I456">
        <v>4.46000003814697</v>
      </c>
      <c r="J456">
        <v>0</v>
      </c>
      <c r="K456">
        <v>128</v>
      </c>
      <c r="L456">
        <v>46</v>
      </c>
      <c r="M456">
        <v>211</v>
      </c>
      <c r="N456">
        <v>1055</v>
      </c>
      <c r="O456">
        <v>4526</v>
      </c>
      <c r="P456" s="3" t="str" cm="1">
        <f t="array" ref="P456">_xlfn.XLOOKUP(A456&amp;B456,'[1]Daily Sleep'!$A$2:$A$468&amp;'[1]Daily Sleep'!$B$2:$B$468,'[1]Daily Sleep'!$D$2:$D$468,"")</f>
        <v/>
      </c>
    </row>
    <row r="457" spans="1:16" x14ac:dyDescent="0.35">
      <c r="A457">
        <v>8877689391</v>
      </c>
      <c r="B457" s="1">
        <v>42471</v>
      </c>
      <c r="C457">
        <v>10622</v>
      </c>
      <c r="D457">
        <v>8.0600004196166992</v>
      </c>
      <c r="E457">
        <v>8.0600004196166992</v>
      </c>
      <c r="F457">
        <v>0</v>
      </c>
      <c r="G457">
        <v>1.4700000286102299</v>
      </c>
      <c r="H457">
        <v>0.15000000596046401</v>
      </c>
      <c r="I457">
        <v>6.3699998855590803</v>
      </c>
      <c r="J457">
        <v>9.9999997764825804E-3</v>
      </c>
      <c r="K457">
        <v>18</v>
      </c>
      <c r="L457">
        <v>7</v>
      </c>
      <c r="M457">
        <v>225</v>
      </c>
      <c r="N457">
        <v>1190</v>
      </c>
      <c r="O457">
        <v>2820</v>
      </c>
      <c r="P457" s="3" t="str" cm="1">
        <f t="array" ref="P457">_xlfn.XLOOKUP(A457&amp;B457,'[1]Daily Sleep'!$A$2:$A$468&amp;'[1]Daily Sleep'!$B$2:$B$468,'[1]Daily Sleep'!$D$2:$D$468,"")</f>
        <v/>
      </c>
    </row>
    <row r="458" spans="1:16" x14ac:dyDescent="0.35">
      <c r="A458">
        <v>8877689391</v>
      </c>
      <c r="B458" s="1">
        <v>42472</v>
      </c>
      <c r="C458">
        <v>2350</v>
      </c>
      <c r="D458">
        <v>1.7799999713897701</v>
      </c>
      <c r="E458">
        <v>1.7799999713897701</v>
      </c>
      <c r="F458">
        <v>0</v>
      </c>
      <c r="G458">
        <v>0</v>
      </c>
      <c r="H458">
        <v>0</v>
      </c>
      <c r="I458">
        <v>1.7799999713897701</v>
      </c>
      <c r="J458">
        <v>0</v>
      </c>
      <c r="K458">
        <v>0</v>
      </c>
      <c r="L458">
        <v>0</v>
      </c>
      <c r="M458">
        <v>58</v>
      </c>
      <c r="N458">
        <v>531</v>
      </c>
      <c r="O458">
        <v>938</v>
      </c>
      <c r="P458" s="3" t="str" cm="1">
        <f t="array" ref="P458">_xlfn.XLOOKUP(A458&amp;B458,'[1]Daily Sleep'!$A$2:$A$468&amp;'[1]Daily Sleep'!$B$2:$B$468,'[1]Daily Sleep'!$D$2:$D$468,"")</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2E4AB-A2AC-4C96-B48E-A50E4541C413}">
  <dimension ref="A1:T458"/>
  <sheetViews>
    <sheetView zoomScale="44" zoomScaleNormal="103" workbookViewId="0">
      <selection activeCell="T14" sqref="T14"/>
    </sheetView>
  </sheetViews>
  <sheetFormatPr defaultRowHeight="13.5" x14ac:dyDescent="0.35"/>
  <cols>
    <col min="1" max="1" width="11.9375" customWidth="1"/>
    <col min="2" max="2" width="11.25" customWidth="1"/>
    <col min="3" max="3" width="13.875" customWidth="1"/>
    <col min="4" max="4" width="12.25" customWidth="1"/>
    <col min="5" max="5" width="14.125" bestFit="1" customWidth="1"/>
    <col min="6" max="6" width="23.5" bestFit="1" customWidth="1"/>
    <col min="7" max="7" width="16.375" bestFit="1" customWidth="1"/>
    <col min="8" max="8" width="21.6875" bestFit="1" customWidth="1"/>
    <col min="9" max="9" width="16.6875" bestFit="1" customWidth="1"/>
    <col min="10" max="10" width="21" bestFit="1" customWidth="1"/>
    <col min="11" max="11" width="18.4375" customWidth="1"/>
    <col min="12" max="12" width="19.25" customWidth="1"/>
    <col min="13" max="13" width="20.75" customWidth="1"/>
    <col min="14" max="14" width="19.3125" customWidth="1"/>
    <col min="15" max="15" width="11.25" customWidth="1"/>
    <col min="16" max="16" width="13.5625" customWidth="1"/>
    <col min="17" max="17" width="11.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32</v>
      </c>
      <c r="R1" t="s">
        <v>33</v>
      </c>
    </row>
    <row r="2" spans="1:18" x14ac:dyDescent="0.35">
      <c r="A2">
        <v>1503960366</v>
      </c>
      <c r="B2" s="1">
        <v>42454</v>
      </c>
      <c r="C2">
        <v>11004</v>
      </c>
      <c r="D2">
        <v>7.1100001335143999</v>
      </c>
      <c r="E2">
        <v>7.1100001335143999</v>
      </c>
      <c r="F2">
        <v>0</v>
      </c>
      <c r="G2">
        <v>2.5699999332428001</v>
      </c>
      <c r="H2">
        <v>0.46000000834464999</v>
      </c>
      <c r="I2">
        <v>4.0700001716613796</v>
      </c>
      <c r="J2">
        <v>0</v>
      </c>
      <c r="K2">
        <v>33</v>
      </c>
      <c r="L2">
        <v>12</v>
      </c>
      <c r="M2">
        <v>205</v>
      </c>
      <c r="N2">
        <v>804</v>
      </c>
      <c r="O2">
        <v>1819</v>
      </c>
      <c r="P2" s="3" cm="1">
        <f t="array" ref="P2">_xlfn.XLOOKUP(A2&amp;B2,'[1]Daily Sleep'!$A$2:$A$468&amp;'[1]Daily Sleep'!$B$2:$B$468,'[1]Daily Sleep'!$D$2:$D$468,"")</f>
        <v>5.85</v>
      </c>
      <c r="Q2" t="str">
        <f>TEXT(B2,"dddd")</f>
        <v>Friday</v>
      </c>
      <c r="R2" t="str">
        <f>IF(OR(WEEKDAY(B3,2)=5,WEEKDAY(B3,2)=6),"Weekend","Weekday")</f>
        <v>Weekend</v>
      </c>
    </row>
    <row r="3" spans="1:18" x14ac:dyDescent="0.35">
      <c r="A3">
        <v>1503960366</v>
      </c>
      <c r="B3" s="1">
        <v>42455</v>
      </c>
      <c r="C3">
        <v>17609</v>
      </c>
      <c r="D3">
        <v>11.550000190734901</v>
      </c>
      <c r="E3">
        <v>11.550000190734901</v>
      </c>
      <c r="F3">
        <v>0</v>
      </c>
      <c r="G3">
        <v>6.9200000762939498</v>
      </c>
      <c r="H3">
        <v>0.730000019073486</v>
      </c>
      <c r="I3">
        <v>3.9100000858306898</v>
      </c>
      <c r="J3">
        <v>0</v>
      </c>
      <c r="K3">
        <v>89</v>
      </c>
      <c r="L3">
        <v>17</v>
      </c>
      <c r="M3">
        <v>274</v>
      </c>
      <c r="N3">
        <v>588</v>
      </c>
      <c r="O3">
        <v>2154</v>
      </c>
      <c r="P3" s="3" cm="1">
        <f t="array" ref="P3">_xlfn.XLOOKUP(A3&amp;B3,'[1]Daily Sleep'!$A$2:$A$468&amp;'[1]Daily Sleep'!$B$2:$B$468,'[1]Daily Sleep'!$D$2:$D$468,"")</f>
        <v>7.2833333333333332</v>
      </c>
      <c r="Q3" t="str">
        <f t="shared" ref="Q3:Q66" si="0">TEXT(B3,"dddd")</f>
        <v>Saturday</v>
      </c>
      <c r="R3" t="str">
        <f t="shared" ref="R3:R66" si="1">IF(OR(WEEKDAY(B4,2)=5,WEEKDAY(B4,2)=6),"Weekend","Weekday")</f>
        <v>Weekday</v>
      </c>
    </row>
    <row r="4" spans="1:18" x14ac:dyDescent="0.35">
      <c r="A4">
        <v>1503960366</v>
      </c>
      <c r="B4" s="1">
        <v>42456</v>
      </c>
      <c r="C4">
        <v>12736</v>
      </c>
      <c r="D4">
        <v>8.5299997329711896</v>
      </c>
      <c r="E4">
        <v>8.5299997329711896</v>
      </c>
      <c r="F4">
        <v>0</v>
      </c>
      <c r="G4">
        <v>4.6599998474121103</v>
      </c>
      <c r="H4">
        <v>0.15999999642372101</v>
      </c>
      <c r="I4">
        <v>3.71000003814697</v>
      </c>
      <c r="J4">
        <v>0</v>
      </c>
      <c r="K4">
        <v>56</v>
      </c>
      <c r="L4">
        <v>5</v>
      </c>
      <c r="M4">
        <v>268</v>
      </c>
      <c r="N4">
        <v>605</v>
      </c>
      <c r="O4">
        <v>1944</v>
      </c>
      <c r="P4" s="3" cm="1">
        <f t="array" ref="P4">_xlfn.XLOOKUP(A4&amp;B4,'[1]Daily Sleep'!$A$2:$A$468&amp;'[1]Daily Sleep'!$B$2:$B$468,'[1]Daily Sleep'!$D$2:$D$468,"")</f>
        <v>8.0500000000000007</v>
      </c>
      <c r="Q4" t="str">
        <f t="shared" si="0"/>
        <v>Sunday</v>
      </c>
      <c r="R4" t="str">
        <f t="shared" si="1"/>
        <v>Weekday</v>
      </c>
    </row>
    <row r="5" spans="1:18" x14ac:dyDescent="0.35">
      <c r="A5">
        <v>1503960366</v>
      </c>
      <c r="B5" s="1">
        <v>42457</v>
      </c>
      <c r="C5">
        <v>13231</v>
      </c>
      <c r="D5">
        <v>8.9300003051757795</v>
      </c>
      <c r="E5">
        <v>8.9300003051757795</v>
      </c>
      <c r="F5">
        <v>0</v>
      </c>
      <c r="G5">
        <v>3.1900000572204599</v>
      </c>
      <c r="H5">
        <v>0.79000002145767201</v>
      </c>
      <c r="I5">
        <v>4.9499998092651403</v>
      </c>
      <c r="J5">
        <v>0</v>
      </c>
      <c r="K5">
        <v>39</v>
      </c>
      <c r="L5">
        <v>20</v>
      </c>
      <c r="M5">
        <v>224</v>
      </c>
      <c r="N5">
        <v>1080</v>
      </c>
      <c r="O5">
        <v>1932</v>
      </c>
      <c r="P5" s="3" cm="1">
        <f t="array" ref="P5">_xlfn.XLOOKUP(A5&amp;B5,'[1]Daily Sleep'!$A$2:$A$468&amp;'[1]Daily Sleep'!$B$2:$B$468,'[1]Daily Sleep'!$D$2:$D$468,"")</f>
        <v>1.2166666666666666</v>
      </c>
      <c r="Q5" t="str">
        <f t="shared" si="0"/>
        <v>Monday</v>
      </c>
      <c r="R5" t="str">
        <f t="shared" si="1"/>
        <v>Weekday</v>
      </c>
    </row>
    <row r="6" spans="1:18" x14ac:dyDescent="0.35">
      <c r="A6">
        <v>1503960366</v>
      </c>
      <c r="B6" s="1">
        <v>42458</v>
      </c>
      <c r="C6">
        <v>12041</v>
      </c>
      <c r="D6">
        <v>7.8499999046325701</v>
      </c>
      <c r="E6">
        <v>7.8499999046325701</v>
      </c>
      <c r="F6">
        <v>0</v>
      </c>
      <c r="G6">
        <v>2.1600000858306898</v>
      </c>
      <c r="H6">
        <v>1.0900000333786</v>
      </c>
      <c r="I6">
        <v>4.6100001335143999</v>
      </c>
      <c r="J6">
        <v>0</v>
      </c>
      <c r="K6">
        <v>28</v>
      </c>
      <c r="L6">
        <v>28</v>
      </c>
      <c r="M6">
        <v>243</v>
      </c>
      <c r="N6">
        <v>763</v>
      </c>
      <c r="O6">
        <v>1886</v>
      </c>
      <c r="P6" s="3" cm="1">
        <f t="array" ref="P6">_xlfn.XLOOKUP(A6&amp;B6,'[1]Daily Sleep'!$A$2:$A$468&amp;'[1]Daily Sleep'!$B$2:$B$468,'[1]Daily Sleep'!$D$2:$D$468,"")</f>
        <v>5.8166666666666664</v>
      </c>
      <c r="Q6" t="str">
        <f t="shared" si="0"/>
        <v>Tuesday</v>
      </c>
      <c r="R6" t="str">
        <f t="shared" si="1"/>
        <v>Weekday</v>
      </c>
    </row>
    <row r="7" spans="1:18" x14ac:dyDescent="0.35">
      <c r="A7">
        <v>1503960366</v>
      </c>
      <c r="B7" s="1">
        <v>42459</v>
      </c>
      <c r="C7">
        <v>10970</v>
      </c>
      <c r="D7">
        <v>7.1599998474121103</v>
      </c>
      <c r="E7">
        <v>7.1599998474121103</v>
      </c>
      <c r="F7">
        <v>0</v>
      </c>
      <c r="G7">
        <v>2.3599998950958301</v>
      </c>
      <c r="H7">
        <v>0.50999999046325695</v>
      </c>
      <c r="I7">
        <v>4.28999996185303</v>
      </c>
      <c r="J7">
        <v>0</v>
      </c>
      <c r="K7">
        <v>30</v>
      </c>
      <c r="L7">
        <v>13</v>
      </c>
      <c r="M7">
        <v>223</v>
      </c>
      <c r="N7">
        <v>1174</v>
      </c>
      <c r="O7">
        <v>1820</v>
      </c>
      <c r="P7" s="3" t="str" cm="1">
        <f t="array" ref="P7">_xlfn.XLOOKUP(A7&amp;B7,'[1]Daily Sleep'!$A$2:$A$468&amp;'[1]Daily Sleep'!$B$2:$B$468,'[1]Daily Sleep'!$D$2:$D$468,"")</f>
        <v/>
      </c>
      <c r="Q7" t="str">
        <f t="shared" si="0"/>
        <v>Wednesday</v>
      </c>
      <c r="R7" t="str">
        <f t="shared" si="1"/>
        <v>Weekday</v>
      </c>
    </row>
    <row r="8" spans="1:18" x14ac:dyDescent="0.35">
      <c r="A8">
        <v>1503960366</v>
      </c>
      <c r="B8" s="1">
        <v>42460</v>
      </c>
      <c r="C8">
        <v>12256</v>
      </c>
      <c r="D8">
        <v>7.8600001335143999</v>
      </c>
      <c r="E8">
        <v>7.8600001335143999</v>
      </c>
      <c r="F8">
        <v>0</v>
      </c>
      <c r="G8">
        <v>2.28999996185303</v>
      </c>
      <c r="H8">
        <v>0.490000009536743</v>
      </c>
      <c r="I8">
        <v>5.03999996185303</v>
      </c>
      <c r="J8">
        <v>0</v>
      </c>
      <c r="K8">
        <v>33</v>
      </c>
      <c r="L8">
        <v>12</v>
      </c>
      <c r="M8">
        <v>239</v>
      </c>
      <c r="N8">
        <v>820</v>
      </c>
      <c r="O8">
        <v>1889</v>
      </c>
      <c r="P8" s="3" cm="1">
        <f t="array" ref="P8">_xlfn.XLOOKUP(A8&amp;B8,'[1]Daily Sleep'!$A$2:$A$468&amp;'[1]Daily Sleep'!$B$2:$B$468,'[1]Daily Sleep'!$D$2:$D$468,"")</f>
        <v>5.1333333333333337</v>
      </c>
      <c r="Q8" t="str">
        <f t="shared" si="0"/>
        <v>Thursday</v>
      </c>
      <c r="R8" t="str">
        <f t="shared" si="1"/>
        <v>Weekend</v>
      </c>
    </row>
    <row r="9" spans="1:18" x14ac:dyDescent="0.35">
      <c r="A9">
        <v>1503960366</v>
      </c>
      <c r="B9" s="1">
        <v>42461</v>
      </c>
      <c r="C9">
        <v>12262</v>
      </c>
      <c r="D9">
        <v>7.8699998855590803</v>
      </c>
      <c r="E9">
        <v>7.8699998855590803</v>
      </c>
      <c r="F9">
        <v>0</v>
      </c>
      <c r="G9">
        <v>3.3199999332428001</v>
      </c>
      <c r="H9">
        <v>0.82999998331069902</v>
      </c>
      <c r="I9">
        <v>3.6400001049041699</v>
      </c>
      <c r="J9">
        <v>0</v>
      </c>
      <c r="K9">
        <v>47</v>
      </c>
      <c r="L9">
        <v>21</v>
      </c>
      <c r="M9">
        <v>200</v>
      </c>
      <c r="N9">
        <v>866</v>
      </c>
      <c r="O9">
        <v>1868</v>
      </c>
      <c r="P9" s="3" cm="1">
        <f t="array" ref="P9">_xlfn.XLOOKUP(A9&amp;B9,'[1]Daily Sleep'!$A$2:$A$468&amp;'[1]Daily Sleep'!$B$2:$B$468,'[1]Daily Sleep'!$D$2:$D$468,"")</f>
        <v>4.7166666666666668</v>
      </c>
      <c r="Q9" t="str">
        <f t="shared" si="0"/>
        <v>Friday</v>
      </c>
      <c r="R9" t="str">
        <f t="shared" si="1"/>
        <v>Weekend</v>
      </c>
    </row>
    <row r="10" spans="1:18" x14ac:dyDescent="0.35">
      <c r="A10">
        <v>1503960366</v>
      </c>
      <c r="B10" s="1">
        <v>42462</v>
      </c>
      <c r="C10">
        <v>11248</v>
      </c>
      <c r="D10">
        <v>7.25</v>
      </c>
      <c r="E10">
        <v>7.25</v>
      </c>
      <c r="F10">
        <v>0</v>
      </c>
      <c r="G10">
        <v>3</v>
      </c>
      <c r="H10">
        <v>0.44999998807907099</v>
      </c>
      <c r="I10">
        <v>3.7400000095367401</v>
      </c>
      <c r="J10">
        <v>0</v>
      </c>
      <c r="K10">
        <v>40</v>
      </c>
      <c r="L10">
        <v>11</v>
      </c>
      <c r="M10">
        <v>244</v>
      </c>
      <c r="N10">
        <v>636</v>
      </c>
      <c r="O10">
        <v>1843</v>
      </c>
      <c r="P10" s="3" cm="1">
        <f t="array" ref="P10">_xlfn.XLOOKUP(A10&amp;B10,'[1]Daily Sleep'!$A$2:$A$468&amp;'[1]Daily Sleep'!$B$2:$B$468,'[1]Daily Sleep'!$D$2:$D$468,"")</f>
        <v>7.3166666666666664</v>
      </c>
      <c r="Q10" t="str">
        <f t="shared" si="0"/>
        <v>Saturday</v>
      </c>
      <c r="R10" t="str">
        <f t="shared" si="1"/>
        <v>Weekday</v>
      </c>
    </row>
    <row r="11" spans="1:18" x14ac:dyDescent="0.35">
      <c r="A11">
        <v>1503960366</v>
      </c>
      <c r="B11" s="1">
        <v>42463</v>
      </c>
      <c r="C11">
        <v>10016</v>
      </c>
      <c r="D11">
        <v>6.3699998855590803</v>
      </c>
      <c r="E11">
        <v>6.3699998855590803</v>
      </c>
      <c r="F11">
        <v>0</v>
      </c>
      <c r="G11">
        <v>0.91000002622604403</v>
      </c>
      <c r="H11">
        <v>1.2799999713897701</v>
      </c>
      <c r="I11">
        <v>4.1799998283386204</v>
      </c>
      <c r="J11">
        <v>0</v>
      </c>
      <c r="K11">
        <v>15</v>
      </c>
      <c r="L11">
        <v>30</v>
      </c>
      <c r="M11">
        <v>314</v>
      </c>
      <c r="N11">
        <v>655</v>
      </c>
      <c r="O11">
        <v>1850</v>
      </c>
      <c r="P11" s="3" cm="1">
        <f t="array" ref="P11">_xlfn.XLOOKUP(A11&amp;B11,'[1]Daily Sleep'!$A$2:$A$468&amp;'[1]Daily Sleep'!$B$2:$B$468,'[1]Daily Sleep'!$D$2:$D$468,"")</f>
        <v>6.3166666666666664</v>
      </c>
      <c r="Q11" t="str">
        <f t="shared" si="0"/>
        <v>Sunday</v>
      </c>
      <c r="R11" t="str">
        <f t="shared" si="1"/>
        <v>Weekday</v>
      </c>
    </row>
    <row r="12" spans="1:18" x14ac:dyDescent="0.35">
      <c r="A12">
        <v>1503960366</v>
      </c>
      <c r="B12" s="1">
        <v>42464</v>
      </c>
      <c r="C12">
        <v>14557</v>
      </c>
      <c r="D12">
        <v>9.8000001907348597</v>
      </c>
      <c r="E12">
        <v>9.8000001907348597</v>
      </c>
      <c r="F12">
        <v>0</v>
      </c>
      <c r="G12">
        <v>3.3900001049041699</v>
      </c>
      <c r="H12">
        <v>0.69999998807907104</v>
      </c>
      <c r="I12">
        <v>5.6900000572204599</v>
      </c>
      <c r="J12">
        <v>0</v>
      </c>
      <c r="K12">
        <v>43</v>
      </c>
      <c r="L12">
        <v>18</v>
      </c>
      <c r="M12">
        <v>285</v>
      </c>
      <c r="N12">
        <v>757</v>
      </c>
      <c r="O12">
        <v>2030</v>
      </c>
      <c r="P12" s="3" cm="1">
        <f t="array" ref="P12">_xlfn.XLOOKUP(A12&amp;B12,'[1]Daily Sleep'!$A$2:$A$468&amp;'[1]Daily Sleep'!$B$2:$B$468,'[1]Daily Sleep'!$D$2:$D$468,"")</f>
        <v>4.9000000000000004</v>
      </c>
      <c r="Q12" t="str">
        <f t="shared" si="0"/>
        <v>Monday</v>
      </c>
      <c r="R12" t="str">
        <f t="shared" si="1"/>
        <v>Weekday</v>
      </c>
    </row>
    <row r="13" spans="1:18" x14ac:dyDescent="0.35">
      <c r="A13">
        <v>1503960366</v>
      </c>
      <c r="B13" s="1">
        <v>42465</v>
      </c>
      <c r="C13">
        <v>14844</v>
      </c>
      <c r="D13">
        <v>9.7299995422363299</v>
      </c>
      <c r="E13">
        <v>9.7299995422363299</v>
      </c>
      <c r="F13">
        <v>0</v>
      </c>
      <c r="G13">
        <v>2.9400000572204599</v>
      </c>
      <c r="H13">
        <v>0.75999999046325695</v>
      </c>
      <c r="I13">
        <v>6.03999996185303</v>
      </c>
      <c r="J13">
        <v>0</v>
      </c>
      <c r="K13">
        <v>36</v>
      </c>
      <c r="L13">
        <v>18</v>
      </c>
      <c r="M13">
        <v>341</v>
      </c>
      <c r="N13">
        <v>736</v>
      </c>
      <c r="O13">
        <v>2083</v>
      </c>
      <c r="P13" s="3" cm="1">
        <f t="array" ref="P13">_xlfn.XLOOKUP(A13&amp;B13,'[1]Daily Sleep'!$A$2:$A$468&amp;'[1]Daily Sleep'!$B$2:$B$468,'[1]Daily Sleep'!$D$2:$D$468,"")</f>
        <v>4.666666666666667</v>
      </c>
      <c r="Q13" t="str">
        <f t="shared" si="0"/>
        <v>Tuesday</v>
      </c>
      <c r="R13" t="str">
        <f t="shared" si="1"/>
        <v>Weekday</v>
      </c>
    </row>
    <row r="14" spans="1:18" x14ac:dyDescent="0.35">
      <c r="A14">
        <v>1503960366</v>
      </c>
      <c r="B14" s="1">
        <v>42466</v>
      </c>
      <c r="C14">
        <v>11974</v>
      </c>
      <c r="D14">
        <v>7.6700000762939498</v>
      </c>
      <c r="E14">
        <v>7.6700000762939498</v>
      </c>
      <c r="F14">
        <v>0</v>
      </c>
      <c r="G14">
        <v>2.03999996185303</v>
      </c>
      <c r="H14">
        <v>0.479999989271164</v>
      </c>
      <c r="I14">
        <v>5.1500000953674299</v>
      </c>
      <c r="J14">
        <v>0</v>
      </c>
      <c r="K14">
        <v>27</v>
      </c>
      <c r="L14">
        <v>12</v>
      </c>
      <c r="M14">
        <v>228</v>
      </c>
      <c r="N14">
        <v>1173</v>
      </c>
      <c r="O14">
        <v>1861</v>
      </c>
      <c r="P14" s="3" t="str" cm="1">
        <f t="array" ref="P14">_xlfn.XLOOKUP(A14&amp;B14,'[1]Daily Sleep'!$A$2:$A$468&amp;'[1]Daily Sleep'!$B$2:$B$468,'[1]Daily Sleep'!$D$2:$D$468,"")</f>
        <v/>
      </c>
      <c r="Q14" t="str">
        <f t="shared" si="0"/>
        <v>Wednesday</v>
      </c>
      <c r="R14" t="str">
        <f t="shared" si="1"/>
        <v>Weekday</v>
      </c>
    </row>
    <row r="15" spans="1:18" x14ac:dyDescent="0.35">
      <c r="A15">
        <v>1503960366</v>
      </c>
      <c r="B15" s="1">
        <v>42467</v>
      </c>
      <c r="C15">
        <v>10198</v>
      </c>
      <c r="D15">
        <v>6.4400000572204599</v>
      </c>
      <c r="E15">
        <v>6.4400000572204599</v>
      </c>
      <c r="F15">
        <v>0</v>
      </c>
      <c r="G15">
        <v>1.20000004768372</v>
      </c>
      <c r="H15">
        <v>0.79000002145767201</v>
      </c>
      <c r="I15">
        <v>4.4499998092651403</v>
      </c>
      <c r="J15">
        <v>0</v>
      </c>
      <c r="K15">
        <v>17</v>
      </c>
      <c r="L15">
        <v>20</v>
      </c>
      <c r="M15">
        <v>195</v>
      </c>
      <c r="N15">
        <v>1208</v>
      </c>
      <c r="O15">
        <v>1755</v>
      </c>
      <c r="P15" s="3" t="str" cm="1">
        <f t="array" ref="P15">_xlfn.XLOOKUP(A15&amp;B15,'[1]Daily Sleep'!$A$2:$A$468&amp;'[1]Daily Sleep'!$B$2:$B$468,'[1]Daily Sleep'!$D$2:$D$468,"")</f>
        <v/>
      </c>
      <c r="Q15" t="str">
        <f t="shared" si="0"/>
        <v>Thursday</v>
      </c>
      <c r="R15" t="str">
        <f t="shared" si="1"/>
        <v>Weekend</v>
      </c>
    </row>
    <row r="16" spans="1:18" x14ac:dyDescent="0.35">
      <c r="A16">
        <v>1503960366</v>
      </c>
      <c r="B16" s="1">
        <v>42468</v>
      </c>
      <c r="C16">
        <v>12521</v>
      </c>
      <c r="D16">
        <v>7.9400000572204599</v>
      </c>
      <c r="E16">
        <v>7.9400000572204599</v>
      </c>
      <c r="F16">
        <v>0</v>
      </c>
      <c r="G16">
        <v>3.3099999427795401</v>
      </c>
      <c r="H16">
        <v>0.89999997615814198</v>
      </c>
      <c r="I16">
        <v>3.7400000095367401</v>
      </c>
      <c r="J16">
        <v>0</v>
      </c>
      <c r="K16">
        <v>46</v>
      </c>
      <c r="L16">
        <v>22</v>
      </c>
      <c r="M16">
        <v>212</v>
      </c>
      <c r="N16">
        <v>1160</v>
      </c>
      <c r="O16">
        <v>1895</v>
      </c>
      <c r="P16" s="3" t="str" cm="1">
        <f t="array" ref="P16">_xlfn.XLOOKUP(A16&amp;B16,'[1]Daily Sleep'!$A$2:$A$468&amp;'[1]Daily Sleep'!$B$2:$B$468,'[1]Daily Sleep'!$D$2:$D$468,"")</f>
        <v/>
      </c>
      <c r="Q16" t="str">
        <f t="shared" si="0"/>
        <v>Friday</v>
      </c>
      <c r="R16" t="str">
        <f t="shared" si="1"/>
        <v>Weekend</v>
      </c>
    </row>
    <row r="17" spans="1:18" x14ac:dyDescent="0.35">
      <c r="A17">
        <v>1503960366</v>
      </c>
      <c r="B17" s="1">
        <v>42469</v>
      </c>
      <c r="C17">
        <v>12432</v>
      </c>
      <c r="D17">
        <v>8.1000003814697301</v>
      </c>
      <c r="E17">
        <v>8.1000003814697301</v>
      </c>
      <c r="F17">
        <v>0</v>
      </c>
      <c r="G17">
        <v>2.5899999141693102</v>
      </c>
      <c r="H17">
        <v>0.58999997377395597</v>
      </c>
      <c r="I17">
        <v>4.9200000762939498</v>
      </c>
      <c r="J17">
        <v>0</v>
      </c>
      <c r="K17">
        <v>32</v>
      </c>
      <c r="L17">
        <v>15</v>
      </c>
      <c r="M17">
        <v>248</v>
      </c>
      <c r="N17">
        <v>738</v>
      </c>
      <c r="O17">
        <v>1883</v>
      </c>
      <c r="P17" s="3" cm="1">
        <f t="array" ref="P17">_xlfn.XLOOKUP(A17&amp;B17,'[1]Daily Sleep'!$A$2:$A$468&amp;'[1]Daily Sleep'!$B$2:$B$468,'[1]Daily Sleep'!$D$2:$D$468,"")</f>
        <v>6.333333333333333</v>
      </c>
      <c r="Q17" t="str">
        <f t="shared" si="0"/>
        <v>Saturday</v>
      </c>
      <c r="R17" t="str">
        <f t="shared" si="1"/>
        <v>Weekday</v>
      </c>
    </row>
    <row r="18" spans="1:18" x14ac:dyDescent="0.35">
      <c r="A18">
        <v>1503960366</v>
      </c>
      <c r="B18" s="1">
        <v>42470</v>
      </c>
      <c r="C18">
        <v>10057</v>
      </c>
      <c r="D18">
        <v>6.9800000190734899</v>
      </c>
      <c r="E18">
        <v>6.9800000190734899</v>
      </c>
      <c r="F18">
        <v>0</v>
      </c>
      <c r="G18">
        <v>4</v>
      </c>
      <c r="H18">
        <v>0.490000009536743</v>
      </c>
      <c r="I18">
        <v>2.4800000190734899</v>
      </c>
      <c r="J18">
        <v>0</v>
      </c>
      <c r="K18">
        <v>44</v>
      </c>
      <c r="L18">
        <v>13</v>
      </c>
      <c r="M18">
        <v>168</v>
      </c>
      <c r="N18">
        <v>737</v>
      </c>
      <c r="O18">
        <v>1755</v>
      </c>
      <c r="P18" s="3" cm="1">
        <f t="array" ref="P18">_xlfn.XLOOKUP(A18&amp;B18,'[1]Daily Sleep'!$A$2:$A$468&amp;'[1]Daily Sleep'!$B$2:$B$468,'[1]Daily Sleep'!$D$2:$D$468,"")</f>
        <v>7.583333333333333</v>
      </c>
      <c r="Q18" t="str">
        <f t="shared" si="0"/>
        <v>Sunday</v>
      </c>
      <c r="R18" t="str">
        <f t="shared" si="1"/>
        <v>Weekday</v>
      </c>
    </row>
    <row r="19" spans="1:18" x14ac:dyDescent="0.35">
      <c r="A19">
        <v>1503960366</v>
      </c>
      <c r="B19" s="1">
        <v>42471</v>
      </c>
      <c r="C19">
        <v>10990</v>
      </c>
      <c r="D19">
        <v>7.2600002288818404</v>
      </c>
      <c r="E19">
        <v>7.2600002288818404</v>
      </c>
      <c r="F19">
        <v>0</v>
      </c>
      <c r="G19">
        <v>2.03999996185303</v>
      </c>
      <c r="H19">
        <v>0.56999999284744296</v>
      </c>
      <c r="I19">
        <v>4.6500000953674299</v>
      </c>
      <c r="J19">
        <v>0</v>
      </c>
      <c r="K19">
        <v>26</v>
      </c>
      <c r="L19">
        <v>14</v>
      </c>
      <c r="M19">
        <v>216</v>
      </c>
      <c r="N19">
        <v>855</v>
      </c>
      <c r="O19">
        <v>1811</v>
      </c>
      <c r="P19" s="3" cm="1">
        <f t="array" ref="P19">_xlfn.XLOOKUP(A19&amp;B19,'[1]Daily Sleep'!$A$2:$A$468&amp;'[1]Daily Sleep'!$B$2:$B$468,'[1]Daily Sleep'!$D$2:$D$468,"")</f>
        <v>5.166666666666667</v>
      </c>
      <c r="Q19" t="str">
        <f t="shared" si="0"/>
        <v>Monday</v>
      </c>
      <c r="R19" t="str">
        <f t="shared" si="1"/>
        <v>Weekday</v>
      </c>
    </row>
    <row r="20" spans="1:18" x14ac:dyDescent="0.35">
      <c r="A20">
        <v>1503960366</v>
      </c>
      <c r="B20" s="1">
        <v>42472</v>
      </c>
      <c r="C20">
        <v>224</v>
      </c>
      <c r="D20">
        <v>0.140000000596046</v>
      </c>
      <c r="E20">
        <v>0.140000000596046</v>
      </c>
      <c r="F20">
        <v>0</v>
      </c>
      <c r="G20">
        <v>0</v>
      </c>
      <c r="H20">
        <v>0</v>
      </c>
      <c r="I20">
        <v>0.129999995231628</v>
      </c>
      <c r="J20">
        <v>0</v>
      </c>
      <c r="K20">
        <v>0</v>
      </c>
      <c r="L20">
        <v>0</v>
      </c>
      <c r="M20">
        <v>9</v>
      </c>
      <c r="N20">
        <v>32</v>
      </c>
      <c r="O20">
        <v>50</v>
      </c>
      <c r="P20" s="3" t="str" cm="1">
        <f t="array" ref="P20">_xlfn.XLOOKUP(A20&amp;B20,'[1]Daily Sleep'!$A$2:$A$468&amp;'[1]Daily Sleep'!$B$2:$B$468,'[1]Daily Sleep'!$D$2:$D$468,"")</f>
        <v/>
      </c>
      <c r="Q20" t="str">
        <f t="shared" si="0"/>
        <v>Tuesday</v>
      </c>
      <c r="R20" t="str">
        <f t="shared" si="1"/>
        <v>Weekend</v>
      </c>
    </row>
    <row r="21" spans="1:18" x14ac:dyDescent="0.35">
      <c r="A21">
        <v>1624580081</v>
      </c>
      <c r="B21" s="1">
        <v>42454</v>
      </c>
      <c r="C21">
        <v>1810</v>
      </c>
      <c r="D21">
        <v>1.1799999475479099</v>
      </c>
      <c r="E21">
        <v>1.1799999475479099</v>
      </c>
      <c r="F21">
        <v>0</v>
      </c>
      <c r="G21">
        <v>0</v>
      </c>
      <c r="H21">
        <v>0</v>
      </c>
      <c r="I21">
        <v>1.12999999523163</v>
      </c>
      <c r="J21">
        <v>9.9999997764825804E-3</v>
      </c>
      <c r="K21">
        <v>0</v>
      </c>
      <c r="L21">
        <v>0</v>
      </c>
      <c r="M21">
        <v>121</v>
      </c>
      <c r="N21">
        <v>1319</v>
      </c>
      <c r="O21">
        <v>1373</v>
      </c>
      <c r="P21" s="3" t="str" cm="1">
        <f t="array" ref="P21">_xlfn.XLOOKUP(A21&amp;B21,'[1]Daily Sleep'!$A$2:$A$468&amp;'[1]Daily Sleep'!$B$2:$B$468,'[1]Daily Sleep'!$D$2:$D$468,"")</f>
        <v/>
      </c>
      <c r="Q21" t="str">
        <f t="shared" si="0"/>
        <v>Friday</v>
      </c>
      <c r="R21" t="str">
        <f t="shared" si="1"/>
        <v>Weekend</v>
      </c>
    </row>
    <row r="22" spans="1:18" x14ac:dyDescent="0.35">
      <c r="A22">
        <v>1624580081</v>
      </c>
      <c r="B22" s="1">
        <v>42455</v>
      </c>
      <c r="C22">
        <v>815</v>
      </c>
      <c r="D22">
        <v>0.52999997138977095</v>
      </c>
      <c r="E22">
        <v>0.52999997138977095</v>
      </c>
      <c r="F22">
        <v>0</v>
      </c>
      <c r="G22">
        <v>0</v>
      </c>
      <c r="H22">
        <v>0</v>
      </c>
      <c r="I22">
        <v>0.52999997138977095</v>
      </c>
      <c r="J22">
        <v>0</v>
      </c>
      <c r="K22">
        <v>0</v>
      </c>
      <c r="L22">
        <v>0</v>
      </c>
      <c r="M22">
        <v>47</v>
      </c>
      <c r="N22">
        <v>1393</v>
      </c>
      <c r="O22">
        <v>1264</v>
      </c>
      <c r="P22" s="3" t="str" cm="1">
        <f t="array" ref="P22">_xlfn.XLOOKUP(A22&amp;B22,'[1]Daily Sleep'!$A$2:$A$468&amp;'[1]Daily Sleep'!$B$2:$B$468,'[1]Daily Sleep'!$D$2:$D$468,"")</f>
        <v/>
      </c>
      <c r="Q22" t="str">
        <f t="shared" si="0"/>
        <v>Saturday</v>
      </c>
      <c r="R22" t="str">
        <f t="shared" si="1"/>
        <v>Weekday</v>
      </c>
    </row>
    <row r="23" spans="1:18" x14ac:dyDescent="0.35">
      <c r="A23">
        <v>1624580081</v>
      </c>
      <c r="B23" s="1">
        <v>42456</v>
      </c>
      <c r="C23">
        <v>1985</v>
      </c>
      <c r="D23">
        <v>1.28999996185303</v>
      </c>
      <c r="E23">
        <v>1.28999996185303</v>
      </c>
      <c r="F23">
        <v>0</v>
      </c>
      <c r="G23">
        <v>0</v>
      </c>
      <c r="H23">
        <v>0</v>
      </c>
      <c r="I23">
        <v>1.2799999713897701</v>
      </c>
      <c r="J23">
        <v>9.9999997764825804E-3</v>
      </c>
      <c r="K23">
        <v>0</v>
      </c>
      <c r="L23">
        <v>0</v>
      </c>
      <c r="M23">
        <v>112</v>
      </c>
      <c r="N23">
        <v>1328</v>
      </c>
      <c r="O23">
        <v>1350</v>
      </c>
      <c r="P23" s="3" t="str" cm="1">
        <f t="array" ref="P23">_xlfn.XLOOKUP(A23&amp;B23,'[1]Daily Sleep'!$A$2:$A$468&amp;'[1]Daily Sleep'!$B$2:$B$468,'[1]Daily Sleep'!$D$2:$D$468,"")</f>
        <v/>
      </c>
      <c r="Q23" t="str">
        <f t="shared" si="0"/>
        <v>Sunday</v>
      </c>
      <c r="R23" t="str">
        <f t="shared" si="1"/>
        <v>Weekday</v>
      </c>
    </row>
    <row r="24" spans="1:18" x14ac:dyDescent="0.35">
      <c r="A24">
        <v>1624580081</v>
      </c>
      <c r="B24" s="1">
        <v>42457</v>
      </c>
      <c r="C24">
        <v>1905</v>
      </c>
      <c r="D24">
        <v>1.2400000095367401</v>
      </c>
      <c r="E24">
        <v>1.2400000095367401</v>
      </c>
      <c r="F24">
        <v>0</v>
      </c>
      <c r="G24">
        <v>0</v>
      </c>
      <c r="H24">
        <v>0</v>
      </c>
      <c r="I24">
        <v>1.2400000095367401</v>
      </c>
      <c r="J24">
        <v>0</v>
      </c>
      <c r="K24">
        <v>0</v>
      </c>
      <c r="L24">
        <v>0</v>
      </c>
      <c r="M24">
        <v>95</v>
      </c>
      <c r="N24">
        <v>1345</v>
      </c>
      <c r="O24">
        <v>1342</v>
      </c>
      <c r="P24" s="3" t="str" cm="1">
        <f t="array" ref="P24">_xlfn.XLOOKUP(A24&amp;B24,'[1]Daily Sleep'!$A$2:$A$468&amp;'[1]Daily Sleep'!$B$2:$B$468,'[1]Daily Sleep'!$D$2:$D$468,"")</f>
        <v/>
      </c>
      <c r="Q24" t="str">
        <f t="shared" si="0"/>
        <v>Monday</v>
      </c>
      <c r="R24" t="str">
        <f t="shared" si="1"/>
        <v>Weekday</v>
      </c>
    </row>
    <row r="25" spans="1:18" x14ac:dyDescent="0.35">
      <c r="A25">
        <v>1624580081</v>
      </c>
      <c r="B25" s="1">
        <v>42458</v>
      </c>
      <c r="C25">
        <v>1552</v>
      </c>
      <c r="D25">
        <v>1.0099999904632599</v>
      </c>
      <c r="E25">
        <v>1.0099999904632599</v>
      </c>
      <c r="F25">
        <v>0</v>
      </c>
      <c r="G25">
        <v>0</v>
      </c>
      <c r="H25">
        <v>0</v>
      </c>
      <c r="I25">
        <v>1</v>
      </c>
      <c r="J25">
        <v>0</v>
      </c>
      <c r="K25">
        <v>0</v>
      </c>
      <c r="L25">
        <v>0</v>
      </c>
      <c r="M25">
        <v>66</v>
      </c>
      <c r="N25">
        <v>1374</v>
      </c>
      <c r="O25">
        <v>1300</v>
      </c>
      <c r="P25" s="3" t="str" cm="1">
        <f t="array" ref="P25">_xlfn.XLOOKUP(A25&amp;B25,'[1]Daily Sleep'!$A$2:$A$468&amp;'[1]Daily Sleep'!$B$2:$B$468,'[1]Daily Sleep'!$D$2:$D$468,"")</f>
        <v/>
      </c>
      <c r="Q25" t="str">
        <f t="shared" si="0"/>
        <v>Tuesday</v>
      </c>
      <c r="R25" t="str">
        <f t="shared" si="1"/>
        <v>Weekday</v>
      </c>
    </row>
    <row r="26" spans="1:18" x14ac:dyDescent="0.35">
      <c r="A26">
        <v>1624580081</v>
      </c>
      <c r="B26" s="1">
        <v>42459</v>
      </c>
      <c r="C26">
        <v>1675</v>
      </c>
      <c r="D26">
        <v>1.0900000333786</v>
      </c>
      <c r="E26">
        <v>1.0900000333786</v>
      </c>
      <c r="F26">
        <v>0</v>
      </c>
      <c r="G26">
        <v>0</v>
      </c>
      <c r="H26">
        <v>0</v>
      </c>
      <c r="I26">
        <v>1.0900000333786</v>
      </c>
      <c r="J26">
        <v>0</v>
      </c>
      <c r="K26">
        <v>0</v>
      </c>
      <c r="L26">
        <v>0</v>
      </c>
      <c r="M26">
        <v>84</v>
      </c>
      <c r="N26">
        <v>1356</v>
      </c>
      <c r="O26">
        <v>1313</v>
      </c>
      <c r="P26" s="3" t="str" cm="1">
        <f t="array" ref="P26">_xlfn.XLOOKUP(A26&amp;B26,'[1]Daily Sleep'!$A$2:$A$468&amp;'[1]Daily Sleep'!$B$2:$B$468,'[1]Daily Sleep'!$D$2:$D$468,"")</f>
        <v/>
      </c>
      <c r="Q26" t="str">
        <f t="shared" si="0"/>
        <v>Wednesday</v>
      </c>
      <c r="R26" t="str">
        <f t="shared" si="1"/>
        <v>Weekday</v>
      </c>
    </row>
    <row r="27" spans="1:18" x14ac:dyDescent="0.35">
      <c r="A27">
        <v>1624580081</v>
      </c>
      <c r="B27" s="1">
        <v>42460</v>
      </c>
      <c r="C27">
        <v>4506</v>
      </c>
      <c r="D27">
        <v>2.9300000667571999</v>
      </c>
      <c r="E27">
        <v>2.9300000667571999</v>
      </c>
      <c r="F27">
        <v>0</v>
      </c>
      <c r="G27">
        <v>0.50999999046325695</v>
      </c>
      <c r="H27">
        <v>0.270000010728836</v>
      </c>
      <c r="I27">
        <v>2.1500000953674299</v>
      </c>
      <c r="J27">
        <v>9.9999997764825804E-3</v>
      </c>
      <c r="K27">
        <v>7</v>
      </c>
      <c r="L27">
        <v>4</v>
      </c>
      <c r="M27">
        <v>144</v>
      </c>
      <c r="N27">
        <v>1285</v>
      </c>
      <c r="O27">
        <v>1498</v>
      </c>
      <c r="P27" s="3" t="str" cm="1">
        <f t="array" ref="P27">_xlfn.XLOOKUP(A27&amp;B27,'[1]Daily Sleep'!$A$2:$A$468&amp;'[1]Daily Sleep'!$B$2:$B$468,'[1]Daily Sleep'!$D$2:$D$468,"")</f>
        <v/>
      </c>
      <c r="Q27" t="str">
        <f t="shared" si="0"/>
        <v>Thursday</v>
      </c>
      <c r="R27" t="str">
        <f t="shared" si="1"/>
        <v>Weekend</v>
      </c>
    </row>
    <row r="28" spans="1:18" x14ac:dyDescent="0.35">
      <c r="A28">
        <v>1624580081</v>
      </c>
      <c r="B28" s="1">
        <v>42461</v>
      </c>
      <c r="C28">
        <v>9218</v>
      </c>
      <c r="D28">
        <v>5.9899997711181596</v>
      </c>
      <c r="E28">
        <v>5.9899997711181596</v>
      </c>
      <c r="F28">
        <v>0</v>
      </c>
      <c r="G28">
        <v>0</v>
      </c>
      <c r="H28">
        <v>0</v>
      </c>
      <c r="I28">
        <v>5.9699997901916504</v>
      </c>
      <c r="J28">
        <v>9.9999997764825804E-3</v>
      </c>
      <c r="K28">
        <v>0</v>
      </c>
      <c r="L28">
        <v>0</v>
      </c>
      <c r="M28">
        <v>221</v>
      </c>
      <c r="N28">
        <v>1219</v>
      </c>
      <c r="O28">
        <v>1541</v>
      </c>
      <c r="P28" s="3" t="str" cm="1">
        <f t="array" ref="P28">_xlfn.XLOOKUP(A28&amp;B28,'[1]Daily Sleep'!$A$2:$A$468&amp;'[1]Daily Sleep'!$B$2:$B$468,'[1]Daily Sleep'!$D$2:$D$468,"")</f>
        <v/>
      </c>
      <c r="Q28" t="str">
        <f t="shared" si="0"/>
        <v>Friday</v>
      </c>
      <c r="R28" t="str">
        <f t="shared" si="1"/>
        <v>Weekend</v>
      </c>
    </row>
    <row r="29" spans="1:18" x14ac:dyDescent="0.35">
      <c r="A29">
        <v>1624580081</v>
      </c>
      <c r="B29" s="1">
        <v>42462</v>
      </c>
      <c r="C29">
        <v>1556</v>
      </c>
      <c r="D29">
        <v>1.0099999904632599</v>
      </c>
      <c r="E29">
        <v>1.0099999904632599</v>
      </c>
      <c r="F29">
        <v>0</v>
      </c>
      <c r="G29">
        <v>0</v>
      </c>
      <c r="H29">
        <v>0</v>
      </c>
      <c r="I29">
        <v>1.0099999904632599</v>
      </c>
      <c r="J29">
        <v>9.9999997764825804E-3</v>
      </c>
      <c r="K29">
        <v>0</v>
      </c>
      <c r="L29">
        <v>0</v>
      </c>
      <c r="M29">
        <v>88</v>
      </c>
      <c r="N29">
        <v>1352</v>
      </c>
      <c r="O29">
        <v>1327</v>
      </c>
      <c r="P29" s="3" t="str" cm="1">
        <f t="array" ref="P29">_xlfn.XLOOKUP(A29&amp;B29,'[1]Daily Sleep'!$A$2:$A$468&amp;'[1]Daily Sleep'!$B$2:$B$468,'[1]Daily Sleep'!$D$2:$D$468,"")</f>
        <v/>
      </c>
      <c r="Q29" t="str">
        <f t="shared" si="0"/>
        <v>Saturday</v>
      </c>
      <c r="R29" t="str">
        <f t="shared" si="1"/>
        <v>Weekday</v>
      </c>
    </row>
    <row r="30" spans="1:18" x14ac:dyDescent="0.35">
      <c r="A30">
        <v>1624580081</v>
      </c>
      <c r="B30" s="1">
        <v>42463</v>
      </c>
      <c r="C30">
        <v>2910</v>
      </c>
      <c r="D30">
        <v>1.8899999856948899</v>
      </c>
      <c r="E30">
        <v>1.8899999856948899</v>
      </c>
      <c r="F30">
        <v>0</v>
      </c>
      <c r="G30">
        <v>0</v>
      </c>
      <c r="H30">
        <v>0</v>
      </c>
      <c r="I30">
        <v>1.87999999523163</v>
      </c>
      <c r="J30">
        <v>9.9999997764825804E-3</v>
      </c>
      <c r="K30">
        <v>0</v>
      </c>
      <c r="L30">
        <v>0</v>
      </c>
      <c r="M30">
        <v>157</v>
      </c>
      <c r="N30">
        <v>1283</v>
      </c>
      <c r="O30">
        <v>1452</v>
      </c>
      <c r="P30" s="3" t="str" cm="1">
        <f t="array" ref="P30">_xlfn.XLOOKUP(A30&amp;B30,'[1]Daily Sleep'!$A$2:$A$468&amp;'[1]Daily Sleep'!$B$2:$B$468,'[1]Daily Sleep'!$D$2:$D$468,"")</f>
        <v/>
      </c>
      <c r="Q30" t="str">
        <f t="shared" si="0"/>
        <v>Sunday</v>
      </c>
      <c r="R30" t="str">
        <f t="shared" si="1"/>
        <v>Weekday</v>
      </c>
    </row>
    <row r="31" spans="1:18" x14ac:dyDescent="0.35">
      <c r="A31">
        <v>1624580081</v>
      </c>
      <c r="B31" s="1">
        <v>42464</v>
      </c>
      <c r="C31">
        <v>18464</v>
      </c>
      <c r="D31">
        <v>12</v>
      </c>
      <c r="E31">
        <v>12</v>
      </c>
      <c r="F31">
        <v>0</v>
      </c>
      <c r="G31">
        <v>0</v>
      </c>
      <c r="H31">
        <v>0</v>
      </c>
      <c r="I31">
        <v>12</v>
      </c>
      <c r="J31">
        <v>0</v>
      </c>
      <c r="K31">
        <v>0</v>
      </c>
      <c r="L31">
        <v>0</v>
      </c>
      <c r="M31">
        <v>270</v>
      </c>
      <c r="N31">
        <v>1170</v>
      </c>
      <c r="O31">
        <v>1574</v>
      </c>
      <c r="P31" s="3" t="str" cm="1">
        <f t="array" ref="P31">_xlfn.XLOOKUP(A31&amp;B31,'[1]Daily Sleep'!$A$2:$A$468&amp;'[1]Daily Sleep'!$B$2:$B$468,'[1]Daily Sleep'!$D$2:$D$468,"")</f>
        <v/>
      </c>
      <c r="Q31" t="str">
        <f t="shared" si="0"/>
        <v>Monday</v>
      </c>
      <c r="R31" t="str">
        <f t="shared" si="1"/>
        <v>Weekday</v>
      </c>
    </row>
    <row r="32" spans="1:18" x14ac:dyDescent="0.35">
      <c r="A32">
        <v>1624580081</v>
      </c>
      <c r="B32" s="1">
        <v>42465</v>
      </c>
      <c r="C32">
        <v>1335</v>
      </c>
      <c r="D32">
        <v>0.87000000476837203</v>
      </c>
      <c r="E32">
        <v>0.87000000476837203</v>
      </c>
      <c r="F32">
        <v>0</v>
      </c>
      <c r="G32">
        <v>0</v>
      </c>
      <c r="H32">
        <v>0</v>
      </c>
      <c r="I32">
        <v>0.87000000476837203</v>
      </c>
      <c r="J32">
        <v>0</v>
      </c>
      <c r="K32">
        <v>0</v>
      </c>
      <c r="L32">
        <v>0</v>
      </c>
      <c r="M32">
        <v>74</v>
      </c>
      <c r="N32">
        <v>1366</v>
      </c>
      <c r="O32">
        <v>1308</v>
      </c>
      <c r="P32" s="3" t="str" cm="1">
        <f t="array" ref="P32">_xlfn.XLOOKUP(A32&amp;B32,'[1]Daily Sleep'!$A$2:$A$468&amp;'[1]Daily Sleep'!$B$2:$B$468,'[1]Daily Sleep'!$D$2:$D$468,"")</f>
        <v/>
      </c>
      <c r="Q32" t="str">
        <f t="shared" si="0"/>
        <v>Tuesday</v>
      </c>
      <c r="R32" t="str">
        <f t="shared" si="1"/>
        <v>Weekday</v>
      </c>
    </row>
    <row r="33" spans="1:18" x14ac:dyDescent="0.35">
      <c r="A33">
        <v>1624580081</v>
      </c>
      <c r="B33" s="1">
        <v>42466</v>
      </c>
      <c r="C33">
        <v>1004</v>
      </c>
      <c r="D33">
        <v>0.64999997615814198</v>
      </c>
      <c r="E33">
        <v>0.64999997615814198</v>
      </c>
      <c r="F33">
        <v>0</v>
      </c>
      <c r="G33">
        <v>0</v>
      </c>
      <c r="H33">
        <v>0</v>
      </c>
      <c r="I33">
        <v>0.64999997615814198</v>
      </c>
      <c r="J33">
        <v>0</v>
      </c>
      <c r="K33">
        <v>0</v>
      </c>
      <c r="L33">
        <v>0</v>
      </c>
      <c r="M33">
        <v>55</v>
      </c>
      <c r="N33">
        <v>1385</v>
      </c>
      <c r="O33">
        <v>1276</v>
      </c>
      <c r="P33" s="3" t="str" cm="1">
        <f t="array" ref="P33">_xlfn.XLOOKUP(A33&amp;B33,'[1]Daily Sleep'!$A$2:$A$468&amp;'[1]Daily Sleep'!$B$2:$B$468,'[1]Daily Sleep'!$D$2:$D$468,"")</f>
        <v/>
      </c>
      <c r="Q33" t="str">
        <f t="shared" si="0"/>
        <v>Wednesday</v>
      </c>
      <c r="R33" t="str">
        <f t="shared" si="1"/>
        <v>Weekday</v>
      </c>
    </row>
    <row r="34" spans="1:18" x14ac:dyDescent="0.35">
      <c r="A34">
        <v>1624580081</v>
      </c>
      <c r="B34" s="1">
        <v>42467</v>
      </c>
      <c r="C34">
        <v>1111</v>
      </c>
      <c r="D34">
        <v>0.72000002861022905</v>
      </c>
      <c r="E34">
        <v>0.72000002861022905</v>
      </c>
      <c r="F34">
        <v>0</v>
      </c>
      <c r="G34">
        <v>0</v>
      </c>
      <c r="H34">
        <v>0</v>
      </c>
      <c r="I34">
        <v>0.72000002861022905</v>
      </c>
      <c r="J34">
        <v>0</v>
      </c>
      <c r="K34">
        <v>0</v>
      </c>
      <c r="L34">
        <v>0</v>
      </c>
      <c r="M34">
        <v>54</v>
      </c>
      <c r="N34">
        <v>1386</v>
      </c>
      <c r="O34">
        <v>1278</v>
      </c>
      <c r="P34" s="3" t="str" cm="1">
        <f t="array" ref="P34">_xlfn.XLOOKUP(A34&amp;B34,'[1]Daily Sleep'!$A$2:$A$468&amp;'[1]Daily Sleep'!$B$2:$B$468,'[1]Daily Sleep'!$D$2:$D$468,"")</f>
        <v/>
      </c>
      <c r="Q34" t="str">
        <f t="shared" si="0"/>
        <v>Thursday</v>
      </c>
      <c r="R34" t="str">
        <f t="shared" si="1"/>
        <v>Weekend</v>
      </c>
    </row>
    <row r="35" spans="1:18" x14ac:dyDescent="0.35">
      <c r="A35">
        <v>1624580081</v>
      </c>
      <c r="B35" s="1">
        <v>42468</v>
      </c>
      <c r="C35">
        <v>6344</v>
      </c>
      <c r="D35">
        <v>4.1199998855590803</v>
      </c>
      <c r="E35">
        <v>4.1199998855590803</v>
      </c>
      <c r="F35">
        <v>0</v>
      </c>
      <c r="G35">
        <v>0</v>
      </c>
      <c r="H35">
        <v>0</v>
      </c>
      <c r="I35">
        <v>4.0999999046325701</v>
      </c>
      <c r="J35">
        <v>0</v>
      </c>
      <c r="K35">
        <v>0</v>
      </c>
      <c r="L35">
        <v>0</v>
      </c>
      <c r="M35">
        <v>143</v>
      </c>
      <c r="N35">
        <v>1297</v>
      </c>
      <c r="O35">
        <v>1409</v>
      </c>
      <c r="P35" s="3" t="str" cm="1">
        <f t="array" ref="P35">_xlfn.XLOOKUP(A35&amp;B35,'[1]Daily Sleep'!$A$2:$A$468&amp;'[1]Daily Sleep'!$B$2:$B$468,'[1]Daily Sleep'!$D$2:$D$468,"")</f>
        <v/>
      </c>
      <c r="Q35" t="str">
        <f t="shared" si="0"/>
        <v>Friday</v>
      </c>
      <c r="R35" t="str">
        <f t="shared" si="1"/>
        <v>Weekend</v>
      </c>
    </row>
    <row r="36" spans="1:18" x14ac:dyDescent="0.35">
      <c r="A36">
        <v>1624580081</v>
      </c>
      <c r="B36" s="1">
        <v>42469</v>
      </c>
      <c r="C36">
        <v>3572</v>
      </c>
      <c r="D36">
        <v>2.3199999332428001</v>
      </c>
      <c r="E36">
        <v>2.3199999332428001</v>
      </c>
      <c r="F36">
        <v>0</v>
      </c>
      <c r="G36">
        <v>0</v>
      </c>
      <c r="H36">
        <v>0</v>
      </c>
      <c r="I36">
        <v>2.28999996185303</v>
      </c>
      <c r="J36">
        <v>2.9999999329447701E-2</v>
      </c>
      <c r="K36">
        <v>0</v>
      </c>
      <c r="L36">
        <v>0</v>
      </c>
      <c r="M36">
        <v>122</v>
      </c>
      <c r="N36">
        <v>1318</v>
      </c>
      <c r="O36">
        <v>1370</v>
      </c>
      <c r="P36" s="3" t="str" cm="1">
        <f t="array" ref="P36">_xlfn.XLOOKUP(A36&amp;B36,'[1]Daily Sleep'!$A$2:$A$468&amp;'[1]Daily Sleep'!$B$2:$B$468,'[1]Daily Sleep'!$D$2:$D$468,"")</f>
        <v/>
      </c>
      <c r="Q36" t="str">
        <f t="shared" si="0"/>
        <v>Saturday</v>
      </c>
      <c r="R36" t="str">
        <f t="shared" si="1"/>
        <v>Weekday</v>
      </c>
    </row>
    <row r="37" spans="1:18" x14ac:dyDescent="0.35">
      <c r="A37">
        <v>1624580081</v>
      </c>
      <c r="B37" s="1">
        <v>42470</v>
      </c>
      <c r="C37">
        <v>3910</v>
      </c>
      <c r="D37">
        <v>2.53999996185303</v>
      </c>
      <c r="E37">
        <v>2.53999996185303</v>
      </c>
      <c r="F37">
        <v>0</v>
      </c>
      <c r="G37">
        <v>0.46999999880790699</v>
      </c>
      <c r="H37">
        <v>0.25</v>
      </c>
      <c r="I37">
        <v>1.8099999427795399</v>
      </c>
      <c r="J37">
        <v>9.9999997764825804E-3</v>
      </c>
      <c r="K37">
        <v>7</v>
      </c>
      <c r="L37">
        <v>7</v>
      </c>
      <c r="M37">
        <v>186</v>
      </c>
      <c r="N37">
        <v>1240</v>
      </c>
      <c r="O37">
        <v>1555</v>
      </c>
      <c r="P37" s="3" t="str" cm="1">
        <f t="array" ref="P37">_xlfn.XLOOKUP(A37&amp;B37,'[1]Daily Sleep'!$A$2:$A$468&amp;'[1]Daily Sleep'!$B$2:$B$468,'[1]Daily Sleep'!$D$2:$D$468,"")</f>
        <v/>
      </c>
      <c r="Q37" t="str">
        <f t="shared" si="0"/>
        <v>Sunday</v>
      </c>
      <c r="R37" t="str">
        <f t="shared" si="1"/>
        <v>Weekday</v>
      </c>
    </row>
    <row r="38" spans="1:18" x14ac:dyDescent="0.35">
      <c r="A38">
        <v>1624580081</v>
      </c>
      <c r="B38" s="1">
        <v>42471</v>
      </c>
      <c r="C38">
        <v>10000</v>
      </c>
      <c r="D38">
        <v>6.5</v>
      </c>
      <c r="E38">
        <v>6.5</v>
      </c>
      <c r="F38">
        <v>0</v>
      </c>
      <c r="G38">
        <v>0</v>
      </c>
      <c r="H38">
        <v>0</v>
      </c>
      <c r="I38">
        <v>6.5</v>
      </c>
      <c r="J38">
        <v>0</v>
      </c>
      <c r="K38">
        <v>0</v>
      </c>
      <c r="L38">
        <v>0</v>
      </c>
      <c r="M38">
        <v>172</v>
      </c>
      <c r="N38">
        <v>1268</v>
      </c>
      <c r="O38">
        <v>1469</v>
      </c>
      <c r="P38" s="3" t="str" cm="1">
        <f t="array" ref="P38">_xlfn.XLOOKUP(A38&amp;B38,'[1]Daily Sleep'!$A$2:$A$468&amp;'[1]Daily Sleep'!$B$2:$B$468,'[1]Daily Sleep'!$D$2:$D$468,"")</f>
        <v/>
      </c>
      <c r="Q38" t="str">
        <f t="shared" si="0"/>
        <v>Monday</v>
      </c>
      <c r="R38" t="str">
        <f t="shared" si="1"/>
        <v>Weekday</v>
      </c>
    </row>
    <row r="39" spans="1:18" x14ac:dyDescent="0.35">
      <c r="A39">
        <v>1624580081</v>
      </c>
      <c r="B39" s="1">
        <v>42472</v>
      </c>
      <c r="C39">
        <v>6627</v>
      </c>
      <c r="D39">
        <v>4.3099999427795401</v>
      </c>
      <c r="E39">
        <v>4.3099999427795401</v>
      </c>
      <c r="F39">
        <v>0</v>
      </c>
      <c r="G39">
        <v>0</v>
      </c>
      <c r="H39">
        <v>0</v>
      </c>
      <c r="I39">
        <v>4.3099999427795401</v>
      </c>
      <c r="J39">
        <v>0</v>
      </c>
      <c r="K39">
        <v>0</v>
      </c>
      <c r="L39">
        <v>0</v>
      </c>
      <c r="M39">
        <v>89</v>
      </c>
      <c r="N39">
        <v>604</v>
      </c>
      <c r="O39">
        <v>706</v>
      </c>
      <c r="P39" s="3" t="str" cm="1">
        <f t="array" ref="P39">_xlfn.XLOOKUP(A39&amp;B39,'[1]Daily Sleep'!$A$2:$A$468&amp;'[1]Daily Sleep'!$B$2:$B$468,'[1]Daily Sleep'!$D$2:$D$468,"")</f>
        <v/>
      </c>
      <c r="Q39" t="str">
        <f t="shared" si="0"/>
        <v>Tuesday</v>
      </c>
      <c r="R39" t="str">
        <f t="shared" si="1"/>
        <v>Weekend</v>
      </c>
    </row>
    <row r="40" spans="1:18" x14ac:dyDescent="0.35">
      <c r="A40">
        <v>1644430081</v>
      </c>
      <c r="B40" s="1">
        <v>42461</v>
      </c>
      <c r="C40">
        <v>4636</v>
      </c>
      <c r="D40">
        <v>3.4100000858306898</v>
      </c>
      <c r="E40">
        <v>3.4100000858306898</v>
      </c>
      <c r="F40">
        <v>0</v>
      </c>
      <c r="G40">
        <v>0</v>
      </c>
      <c r="H40">
        <v>0.77999997138977095</v>
      </c>
      <c r="I40">
        <v>2.5999999046325701</v>
      </c>
      <c r="J40">
        <v>2.9999999329447701E-2</v>
      </c>
      <c r="K40">
        <v>0</v>
      </c>
      <c r="L40">
        <v>16</v>
      </c>
      <c r="M40">
        <v>586</v>
      </c>
      <c r="N40">
        <v>838</v>
      </c>
      <c r="O40">
        <v>3323</v>
      </c>
      <c r="P40" s="3" t="str" cm="1">
        <f t="array" ref="P40">_xlfn.XLOOKUP(A40&amp;B40,'[1]Daily Sleep'!$A$2:$A$468&amp;'[1]Daily Sleep'!$B$2:$B$468,'[1]Daily Sleep'!$D$2:$D$468,"")</f>
        <v/>
      </c>
      <c r="Q40" t="str">
        <f t="shared" si="0"/>
        <v>Friday</v>
      </c>
      <c r="R40" t="str">
        <f t="shared" si="1"/>
        <v>Weekend</v>
      </c>
    </row>
    <row r="41" spans="1:18" x14ac:dyDescent="0.35">
      <c r="A41">
        <v>1644430081</v>
      </c>
      <c r="B41" s="1">
        <v>42462</v>
      </c>
      <c r="C41">
        <v>20237</v>
      </c>
      <c r="D41">
        <v>14.710000038146999</v>
      </c>
      <c r="E41">
        <v>14.710000038146999</v>
      </c>
      <c r="F41">
        <v>0</v>
      </c>
      <c r="G41">
        <v>2.5699999332428001</v>
      </c>
      <c r="H41">
        <v>6.4000000953674299</v>
      </c>
      <c r="I41">
        <v>5.7300000190734899</v>
      </c>
      <c r="J41">
        <v>9.9999997764825804E-3</v>
      </c>
      <c r="K41">
        <v>34</v>
      </c>
      <c r="L41">
        <v>141</v>
      </c>
      <c r="M41">
        <v>347</v>
      </c>
      <c r="N41">
        <v>918</v>
      </c>
      <c r="O41">
        <v>4029</v>
      </c>
      <c r="P41" s="3" t="str" cm="1">
        <f t="array" ref="P41">_xlfn.XLOOKUP(A41&amp;B41,'[1]Daily Sleep'!$A$2:$A$468&amp;'[1]Daily Sleep'!$B$2:$B$468,'[1]Daily Sleep'!$D$2:$D$468,"")</f>
        <v/>
      </c>
      <c r="Q41" t="str">
        <f t="shared" si="0"/>
        <v>Saturday</v>
      </c>
      <c r="R41" t="str">
        <f t="shared" si="1"/>
        <v>Weekday</v>
      </c>
    </row>
    <row r="42" spans="1:18" x14ac:dyDescent="0.35">
      <c r="A42">
        <v>1644430081</v>
      </c>
      <c r="B42" s="1">
        <v>42463</v>
      </c>
      <c r="C42">
        <v>12912</v>
      </c>
      <c r="D42">
        <v>9.4099998474121094</v>
      </c>
      <c r="E42">
        <v>9.4099998474121094</v>
      </c>
      <c r="F42">
        <v>0</v>
      </c>
      <c r="G42">
        <v>4.8299999237060502</v>
      </c>
      <c r="H42">
        <v>0.769999980926514</v>
      </c>
      <c r="I42">
        <v>3.78999996185303</v>
      </c>
      <c r="J42">
        <v>2.9999999329447701E-2</v>
      </c>
      <c r="K42">
        <v>59</v>
      </c>
      <c r="L42">
        <v>16</v>
      </c>
      <c r="M42">
        <v>283</v>
      </c>
      <c r="N42">
        <v>1082</v>
      </c>
      <c r="O42">
        <v>3436</v>
      </c>
      <c r="P42" s="3" t="str" cm="1">
        <f t="array" ref="P42">_xlfn.XLOOKUP(A42&amp;B42,'[1]Daily Sleep'!$A$2:$A$468&amp;'[1]Daily Sleep'!$B$2:$B$468,'[1]Daily Sleep'!$D$2:$D$468,"")</f>
        <v/>
      </c>
      <c r="Q42" t="str">
        <f t="shared" si="0"/>
        <v>Sunday</v>
      </c>
      <c r="R42" t="str">
        <f t="shared" si="1"/>
        <v>Weekday</v>
      </c>
    </row>
    <row r="43" spans="1:18" x14ac:dyDescent="0.35">
      <c r="A43">
        <v>1644430081</v>
      </c>
      <c r="B43" s="1">
        <v>42464</v>
      </c>
      <c r="C43">
        <v>2819</v>
      </c>
      <c r="D43">
        <v>2.0499999523162802</v>
      </c>
      <c r="E43">
        <v>2.0499999523162802</v>
      </c>
      <c r="F43">
        <v>0</v>
      </c>
      <c r="G43">
        <v>0.31000000238418601</v>
      </c>
      <c r="H43">
        <v>0.17000000178813901</v>
      </c>
      <c r="I43">
        <v>1.5599999427795399</v>
      </c>
      <c r="J43">
        <v>9.9999997764825804E-3</v>
      </c>
      <c r="K43">
        <v>4</v>
      </c>
      <c r="L43">
        <v>4</v>
      </c>
      <c r="M43">
        <v>87</v>
      </c>
      <c r="N43">
        <v>1345</v>
      </c>
      <c r="O43">
        <v>2444</v>
      </c>
      <c r="P43" s="3" t="str" cm="1">
        <f t="array" ref="P43">_xlfn.XLOOKUP(A43&amp;B43,'[1]Daily Sleep'!$A$2:$A$468&amp;'[1]Daily Sleep'!$B$2:$B$468,'[1]Daily Sleep'!$D$2:$D$468,"")</f>
        <v/>
      </c>
      <c r="Q43" t="str">
        <f t="shared" si="0"/>
        <v>Monday</v>
      </c>
      <c r="R43" t="str">
        <f t="shared" si="1"/>
        <v>Weekday</v>
      </c>
    </row>
    <row r="44" spans="1:18" x14ac:dyDescent="0.35">
      <c r="A44">
        <v>1644430081</v>
      </c>
      <c r="B44" s="1">
        <v>42465</v>
      </c>
      <c r="C44">
        <v>9921</v>
      </c>
      <c r="D44">
        <v>7.21000003814697</v>
      </c>
      <c r="E44">
        <v>7.21000003814697</v>
      </c>
      <c r="F44">
        <v>0</v>
      </c>
      <c r="G44">
        <v>0.34000000357627902</v>
      </c>
      <c r="H44">
        <v>1.5199999809265099</v>
      </c>
      <c r="I44">
        <v>5.3600001335143999</v>
      </c>
      <c r="J44">
        <v>0</v>
      </c>
      <c r="K44">
        <v>5</v>
      </c>
      <c r="L44">
        <v>35</v>
      </c>
      <c r="M44">
        <v>219</v>
      </c>
      <c r="N44">
        <v>1181</v>
      </c>
      <c r="O44">
        <v>3098</v>
      </c>
      <c r="P44" s="3" t="str" cm="1">
        <f t="array" ref="P44">_xlfn.XLOOKUP(A44&amp;B44,'[1]Daily Sleep'!$A$2:$A$468&amp;'[1]Daily Sleep'!$B$2:$B$468,'[1]Daily Sleep'!$D$2:$D$468,"")</f>
        <v/>
      </c>
      <c r="Q44" t="str">
        <f t="shared" si="0"/>
        <v>Tuesday</v>
      </c>
      <c r="R44" t="str">
        <f t="shared" si="1"/>
        <v>Weekday</v>
      </c>
    </row>
    <row r="45" spans="1:18" x14ac:dyDescent="0.35">
      <c r="A45">
        <v>1644430081</v>
      </c>
      <c r="B45" s="1">
        <v>42466</v>
      </c>
      <c r="C45">
        <v>8046</v>
      </c>
      <c r="D45">
        <v>5.8499999046325701</v>
      </c>
      <c r="E45">
        <v>5.8499999046325701</v>
      </c>
      <c r="F45">
        <v>0</v>
      </c>
      <c r="G45">
        <v>1.28999996185303</v>
      </c>
      <c r="H45">
        <v>2.1199998855590798</v>
      </c>
      <c r="I45">
        <v>2.4500000476837198</v>
      </c>
      <c r="J45">
        <v>0</v>
      </c>
      <c r="K45">
        <v>18</v>
      </c>
      <c r="L45">
        <v>41</v>
      </c>
      <c r="M45">
        <v>137</v>
      </c>
      <c r="N45">
        <v>1244</v>
      </c>
      <c r="O45">
        <v>2925</v>
      </c>
      <c r="P45" s="3" t="str" cm="1">
        <f t="array" ref="P45">_xlfn.XLOOKUP(A45&amp;B45,'[1]Daily Sleep'!$A$2:$A$468&amp;'[1]Daily Sleep'!$B$2:$B$468,'[1]Daily Sleep'!$D$2:$D$468,"")</f>
        <v/>
      </c>
      <c r="Q45" t="str">
        <f t="shared" si="0"/>
        <v>Wednesday</v>
      </c>
      <c r="R45" t="str">
        <f t="shared" si="1"/>
        <v>Weekday</v>
      </c>
    </row>
    <row r="46" spans="1:18" x14ac:dyDescent="0.35">
      <c r="A46">
        <v>1644430081</v>
      </c>
      <c r="B46" s="1">
        <v>42467</v>
      </c>
      <c r="C46">
        <v>11166</v>
      </c>
      <c r="D46">
        <v>8.1199998855590803</v>
      </c>
      <c r="E46">
        <v>8.1199998855590803</v>
      </c>
      <c r="F46">
        <v>0</v>
      </c>
      <c r="G46">
        <v>0.20999999344348899</v>
      </c>
      <c r="H46">
        <v>2.4100000858306898</v>
      </c>
      <c r="I46">
        <v>5.5</v>
      </c>
      <c r="J46">
        <v>0</v>
      </c>
      <c r="K46">
        <v>3</v>
      </c>
      <c r="L46">
        <v>58</v>
      </c>
      <c r="M46">
        <v>230</v>
      </c>
      <c r="N46">
        <v>1149</v>
      </c>
      <c r="O46">
        <v>3202</v>
      </c>
      <c r="P46" s="3" t="str" cm="1">
        <f t="array" ref="P46">_xlfn.XLOOKUP(A46&amp;B46,'[1]Daily Sleep'!$A$2:$A$468&amp;'[1]Daily Sleep'!$B$2:$B$468,'[1]Daily Sleep'!$D$2:$D$468,"")</f>
        <v/>
      </c>
      <c r="Q46" t="str">
        <f t="shared" si="0"/>
        <v>Thursday</v>
      </c>
      <c r="R46" t="str">
        <f t="shared" si="1"/>
        <v>Weekend</v>
      </c>
    </row>
    <row r="47" spans="1:18" x14ac:dyDescent="0.35">
      <c r="A47">
        <v>1644430081</v>
      </c>
      <c r="B47" s="1">
        <v>42468</v>
      </c>
      <c r="C47">
        <v>7842</v>
      </c>
      <c r="D47">
        <v>5.6999998092651403</v>
      </c>
      <c r="E47">
        <v>5.6999998092651403</v>
      </c>
      <c r="F47">
        <v>0</v>
      </c>
      <c r="G47">
        <v>0.479999989271164</v>
      </c>
      <c r="H47">
        <v>2.4100000858306898</v>
      </c>
      <c r="I47">
        <v>2.8099999427795401</v>
      </c>
      <c r="J47">
        <v>0</v>
      </c>
      <c r="K47">
        <v>7</v>
      </c>
      <c r="L47">
        <v>43</v>
      </c>
      <c r="M47">
        <v>161</v>
      </c>
      <c r="N47">
        <v>1229</v>
      </c>
      <c r="O47">
        <v>2928</v>
      </c>
      <c r="P47" s="3" t="str" cm="1">
        <f t="array" ref="P47">_xlfn.XLOOKUP(A47&amp;B47,'[1]Daily Sleep'!$A$2:$A$468&amp;'[1]Daily Sleep'!$B$2:$B$468,'[1]Daily Sleep'!$D$2:$D$468,"")</f>
        <v/>
      </c>
      <c r="Q47" t="str">
        <f t="shared" si="0"/>
        <v>Friday</v>
      </c>
      <c r="R47" t="str">
        <f t="shared" si="1"/>
        <v>Weekend</v>
      </c>
    </row>
    <row r="48" spans="1:18" x14ac:dyDescent="0.35">
      <c r="A48">
        <v>1644430081</v>
      </c>
      <c r="B48" s="1">
        <v>42469</v>
      </c>
      <c r="C48">
        <v>13840</v>
      </c>
      <c r="D48">
        <v>10.060000419616699</v>
      </c>
      <c r="E48">
        <v>10.060000419616699</v>
      </c>
      <c r="F48">
        <v>0</v>
      </c>
      <c r="G48">
        <v>1.3099999427795399</v>
      </c>
      <c r="H48">
        <v>3.7200000286102299</v>
      </c>
      <c r="I48">
        <v>5.0300002098083496</v>
      </c>
      <c r="J48">
        <v>0</v>
      </c>
      <c r="K48">
        <v>18</v>
      </c>
      <c r="L48">
        <v>81</v>
      </c>
      <c r="M48">
        <v>192</v>
      </c>
      <c r="N48">
        <v>1149</v>
      </c>
      <c r="O48">
        <v>3290</v>
      </c>
      <c r="P48" s="3" t="str" cm="1">
        <f t="array" ref="P48">_xlfn.XLOOKUP(A48&amp;B48,'[1]Daily Sleep'!$A$2:$A$468&amp;'[1]Daily Sleep'!$B$2:$B$468,'[1]Daily Sleep'!$D$2:$D$468,"")</f>
        <v/>
      </c>
      <c r="Q48" t="str">
        <f t="shared" si="0"/>
        <v>Saturday</v>
      </c>
      <c r="R48" t="str">
        <f t="shared" si="1"/>
        <v>Weekday</v>
      </c>
    </row>
    <row r="49" spans="1:18" x14ac:dyDescent="0.35">
      <c r="A49">
        <v>1644430081</v>
      </c>
      <c r="B49" s="1">
        <v>42470</v>
      </c>
      <c r="C49">
        <v>1329</v>
      </c>
      <c r="D49">
        <v>0.97000002861022905</v>
      </c>
      <c r="E49">
        <v>0.97000002861022905</v>
      </c>
      <c r="F49">
        <v>0</v>
      </c>
      <c r="G49">
        <v>0</v>
      </c>
      <c r="H49">
        <v>0</v>
      </c>
      <c r="I49">
        <v>0.97000002861022905</v>
      </c>
      <c r="J49">
        <v>0</v>
      </c>
      <c r="K49">
        <v>0</v>
      </c>
      <c r="L49">
        <v>0</v>
      </c>
      <c r="M49">
        <v>35</v>
      </c>
      <c r="N49">
        <v>207</v>
      </c>
      <c r="O49">
        <v>489</v>
      </c>
      <c r="P49" s="3" t="str" cm="1">
        <f t="array" ref="P49">_xlfn.XLOOKUP(A49&amp;B49,'[1]Daily Sleep'!$A$2:$A$468&amp;'[1]Daily Sleep'!$B$2:$B$468,'[1]Daily Sleep'!$D$2:$D$468,"")</f>
        <v/>
      </c>
      <c r="Q49" t="str">
        <f t="shared" si="0"/>
        <v>Sunday</v>
      </c>
      <c r="R49" t="str">
        <f t="shared" si="1"/>
        <v>Weekend</v>
      </c>
    </row>
    <row r="50" spans="1:18" x14ac:dyDescent="0.35">
      <c r="A50">
        <v>1844505072</v>
      </c>
      <c r="B50" s="1">
        <v>42461</v>
      </c>
      <c r="C50">
        <v>6847</v>
      </c>
      <c r="D50">
        <v>4.5300002098083496</v>
      </c>
      <c r="E50">
        <v>4.5300002098083496</v>
      </c>
      <c r="F50">
        <v>0</v>
      </c>
      <c r="G50">
        <v>0.61000001430511497</v>
      </c>
      <c r="H50">
        <v>0.37000000476837203</v>
      </c>
      <c r="I50">
        <v>3.5499999523162802</v>
      </c>
      <c r="J50">
        <v>0</v>
      </c>
      <c r="K50">
        <v>9</v>
      </c>
      <c r="L50">
        <v>9</v>
      </c>
      <c r="M50">
        <v>251</v>
      </c>
      <c r="N50">
        <v>1171</v>
      </c>
      <c r="O50">
        <v>1969</v>
      </c>
      <c r="P50" s="3" t="str" cm="1">
        <f t="array" ref="P50">_xlfn.XLOOKUP(A50&amp;B50,'[1]Daily Sleep'!$A$2:$A$468&amp;'[1]Daily Sleep'!$B$2:$B$468,'[1]Daily Sleep'!$D$2:$D$468,"")</f>
        <v/>
      </c>
      <c r="Q50" t="str">
        <f t="shared" si="0"/>
        <v>Friday</v>
      </c>
      <c r="R50" t="str">
        <f t="shared" si="1"/>
        <v>Weekend</v>
      </c>
    </row>
    <row r="51" spans="1:18" x14ac:dyDescent="0.35">
      <c r="A51">
        <v>1844505072</v>
      </c>
      <c r="B51" s="1">
        <v>42462</v>
      </c>
      <c r="C51">
        <v>5367</v>
      </c>
      <c r="D51">
        <v>3.5499999523162802</v>
      </c>
      <c r="E51">
        <v>3.5499999523162802</v>
      </c>
      <c r="F51">
        <v>0</v>
      </c>
      <c r="G51">
        <v>0</v>
      </c>
      <c r="H51">
        <v>0</v>
      </c>
      <c r="I51">
        <v>3.5499999523162802</v>
      </c>
      <c r="J51">
        <v>0</v>
      </c>
      <c r="K51">
        <v>0</v>
      </c>
      <c r="L51">
        <v>0</v>
      </c>
      <c r="M51">
        <v>263</v>
      </c>
      <c r="N51">
        <v>1177</v>
      </c>
      <c r="O51">
        <v>1889</v>
      </c>
      <c r="P51" s="3" t="str" cm="1">
        <f t="array" ref="P51">_xlfn.XLOOKUP(A51&amp;B51,'[1]Daily Sleep'!$A$2:$A$468&amp;'[1]Daily Sleep'!$B$2:$B$468,'[1]Daily Sleep'!$D$2:$D$468,"")</f>
        <v/>
      </c>
      <c r="Q51" t="str">
        <f t="shared" si="0"/>
        <v>Saturday</v>
      </c>
      <c r="R51" t="str">
        <f t="shared" si="1"/>
        <v>Weekday</v>
      </c>
    </row>
    <row r="52" spans="1:18" x14ac:dyDescent="0.35">
      <c r="A52">
        <v>1844505072</v>
      </c>
      <c r="B52" s="1">
        <v>42463</v>
      </c>
      <c r="C52">
        <v>2841</v>
      </c>
      <c r="D52">
        <v>1.87999999523163</v>
      </c>
      <c r="E52">
        <v>1.87999999523163</v>
      </c>
      <c r="F52">
        <v>0</v>
      </c>
      <c r="G52">
        <v>0</v>
      </c>
      <c r="H52">
        <v>0</v>
      </c>
      <c r="I52">
        <v>1.87999999523163</v>
      </c>
      <c r="J52">
        <v>0</v>
      </c>
      <c r="K52">
        <v>0</v>
      </c>
      <c r="L52">
        <v>0</v>
      </c>
      <c r="M52">
        <v>136</v>
      </c>
      <c r="N52">
        <v>1114</v>
      </c>
      <c r="O52">
        <v>1636</v>
      </c>
      <c r="P52" s="3" cm="1">
        <f t="array" ref="P52">_xlfn.XLOOKUP(A52&amp;B52,'[1]Daily Sleep'!$A$2:$A$468&amp;'[1]Daily Sleep'!$B$2:$B$468,'[1]Daily Sleep'!$D$2:$D$468,"")</f>
        <v>2.8166666666666669</v>
      </c>
      <c r="Q52" t="str">
        <f t="shared" si="0"/>
        <v>Sunday</v>
      </c>
      <c r="R52" t="str">
        <f t="shared" si="1"/>
        <v>Weekday</v>
      </c>
    </row>
    <row r="53" spans="1:18" x14ac:dyDescent="0.35">
      <c r="A53">
        <v>1844505072</v>
      </c>
      <c r="B53" s="1">
        <v>42464</v>
      </c>
      <c r="C53">
        <v>0</v>
      </c>
      <c r="D53">
        <v>0</v>
      </c>
      <c r="E53">
        <v>0</v>
      </c>
      <c r="F53">
        <v>0</v>
      </c>
      <c r="G53">
        <v>0</v>
      </c>
      <c r="H53">
        <v>0</v>
      </c>
      <c r="I53">
        <v>0</v>
      </c>
      <c r="J53">
        <v>0</v>
      </c>
      <c r="K53">
        <v>0</v>
      </c>
      <c r="L53">
        <v>0</v>
      </c>
      <c r="M53">
        <v>0</v>
      </c>
      <c r="N53">
        <v>669</v>
      </c>
      <c r="O53">
        <v>1347</v>
      </c>
      <c r="P53" s="3" cm="1">
        <f t="array" ref="P53">_xlfn.XLOOKUP(A53&amp;B53,'[1]Daily Sleep'!$A$2:$A$468&amp;'[1]Daily Sleep'!$B$2:$B$468,'[1]Daily Sleep'!$D$2:$D$468,"")</f>
        <v>12.85</v>
      </c>
      <c r="Q53" t="str">
        <f t="shared" si="0"/>
        <v>Monday</v>
      </c>
      <c r="R53" t="str">
        <f t="shared" si="1"/>
        <v>Weekday</v>
      </c>
    </row>
    <row r="54" spans="1:18" x14ac:dyDescent="0.35">
      <c r="A54">
        <v>1844505072</v>
      </c>
      <c r="B54" s="1">
        <v>42465</v>
      </c>
      <c r="C54">
        <v>0</v>
      </c>
      <c r="D54">
        <v>0</v>
      </c>
      <c r="E54">
        <v>0</v>
      </c>
      <c r="F54">
        <v>0</v>
      </c>
      <c r="G54">
        <v>0</v>
      </c>
      <c r="H54">
        <v>0</v>
      </c>
      <c r="I54">
        <v>0</v>
      </c>
      <c r="J54">
        <v>0</v>
      </c>
      <c r="K54">
        <v>0</v>
      </c>
      <c r="L54">
        <v>0</v>
      </c>
      <c r="M54">
        <v>0</v>
      </c>
      <c r="N54">
        <v>1440</v>
      </c>
      <c r="O54">
        <v>1347</v>
      </c>
      <c r="P54" s="3" t="str" cm="1">
        <f t="array" ref="P54">_xlfn.XLOOKUP(A54&amp;B54,'[1]Daily Sleep'!$A$2:$A$468&amp;'[1]Daily Sleep'!$B$2:$B$468,'[1]Daily Sleep'!$D$2:$D$468,"")</f>
        <v/>
      </c>
      <c r="Q54" t="str">
        <f t="shared" si="0"/>
        <v>Tuesday</v>
      </c>
      <c r="R54" t="str">
        <f t="shared" si="1"/>
        <v>Weekday</v>
      </c>
    </row>
    <row r="55" spans="1:18" x14ac:dyDescent="0.35">
      <c r="A55">
        <v>1844505072</v>
      </c>
      <c r="B55" s="1">
        <v>42466</v>
      </c>
      <c r="C55">
        <v>7</v>
      </c>
      <c r="D55">
        <v>0</v>
      </c>
      <c r="E55">
        <v>0</v>
      </c>
      <c r="F55">
        <v>0</v>
      </c>
      <c r="G55">
        <v>0</v>
      </c>
      <c r="H55">
        <v>0</v>
      </c>
      <c r="I55">
        <v>0</v>
      </c>
      <c r="J55">
        <v>0</v>
      </c>
      <c r="K55">
        <v>0</v>
      </c>
      <c r="L55">
        <v>0</v>
      </c>
      <c r="M55">
        <v>1</v>
      </c>
      <c r="N55">
        <v>1439</v>
      </c>
      <c r="O55">
        <v>1349</v>
      </c>
      <c r="P55" s="3" t="str" cm="1">
        <f t="array" ref="P55">_xlfn.XLOOKUP(A55&amp;B55,'[1]Daily Sleep'!$A$2:$A$468&amp;'[1]Daily Sleep'!$B$2:$B$468,'[1]Daily Sleep'!$D$2:$D$468,"")</f>
        <v/>
      </c>
      <c r="Q55" t="str">
        <f t="shared" si="0"/>
        <v>Wednesday</v>
      </c>
      <c r="R55" t="str">
        <f t="shared" si="1"/>
        <v>Weekday</v>
      </c>
    </row>
    <row r="56" spans="1:18" x14ac:dyDescent="0.35">
      <c r="A56">
        <v>1844505072</v>
      </c>
      <c r="B56" s="1">
        <v>42467</v>
      </c>
      <c r="C56">
        <v>6344</v>
      </c>
      <c r="D56">
        <v>4.1900000572204599</v>
      </c>
      <c r="E56">
        <v>4.1900000572204599</v>
      </c>
      <c r="F56">
        <v>0</v>
      </c>
      <c r="G56">
        <v>0</v>
      </c>
      <c r="H56">
        <v>0</v>
      </c>
      <c r="I56">
        <v>4.1900000572204599</v>
      </c>
      <c r="J56">
        <v>0</v>
      </c>
      <c r="K56">
        <v>0</v>
      </c>
      <c r="L56">
        <v>0</v>
      </c>
      <c r="M56">
        <v>290</v>
      </c>
      <c r="N56">
        <v>1150</v>
      </c>
      <c r="O56">
        <v>1965</v>
      </c>
      <c r="P56" s="3" t="str" cm="1">
        <f t="array" ref="P56">_xlfn.XLOOKUP(A56&amp;B56,'[1]Daily Sleep'!$A$2:$A$468&amp;'[1]Daily Sleep'!$B$2:$B$468,'[1]Daily Sleep'!$D$2:$D$468,"")</f>
        <v/>
      </c>
      <c r="Q56" t="str">
        <f t="shared" si="0"/>
        <v>Thursday</v>
      </c>
      <c r="R56" t="str">
        <f t="shared" si="1"/>
        <v>Weekend</v>
      </c>
    </row>
    <row r="57" spans="1:18" x14ac:dyDescent="0.35">
      <c r="A57">
        <v>1844505072</v>
      </c>
      <c r="B57" s="1">
        <v>42468</v>
      </c>
      <c r="C57">
        <v>5316</v>
      </c>
      <c r="D57">
        <v>3.5099999904632599</v>
      </c>
      <c r="E57">
        <v>3.5099999904632599</v>
      </c>
      <c r="F57">
        <v>0</v>
      </c>
      <c r="G57">
        <v>0</v>
      </c>
      <c r="H57">
        <v>0</v>
      </c>
      <c r="I57">
        <v>3.5099999904632599</v>
      </c>
      <c r="J57">
        <v>0</v>
      </c>
      <c r="K57">
        <v>0</v>
      </c>
      <c r="L57">
        <v>0</v>
      </c>
      <c r="M57">
        <v>221</v>
      </c>
      <c r="N57">
        <v>1219</v>
      </c>
      <c r="O57">
        <v>1824</v>
      </c>
      <c r="P57" s="3" t="str" cm="1">
        <f t="array" ref="P57">_xlfn.XLOOKUP(A57&amp;B57,'[1]Daily Sleep'!$A$2:$A$468&amp;'[1]Daily Sleep'!$B$2:$B$468,'[1]Daily Sleep'!$D$2:$D$468,"")</f>
        <v/>
      </c>
      <c r="Q57" t="str">
        <f t="shared" si="0"/>
        <v>Friday</v>
      </c>
      <c r="R57" t="str">
        <f t="shared" si="1"/>
        <v>Weekend</v>
      </c>
    </row>
    <row r="58" spans="1:18" x14ac:dyDescent="0.35">
      <c r="A58">
        <v>1844505072</v>
      </c>
      <c r="B58" s="1">
        <v>42469</v>
      </c>
      <c r="C58">
        <v>4979</v>
      </c>
      <c r="D58">
        <v>3.28999996185303</v>
      </c>
      <c r="E58">
        <v>3.28999996185303</v>
      </c>
      <c r="F58">
        <v>0</v>
      </c>
      <c r="G58">
        <v>0</v>
      </c>
      <c r="H58">
        <v>0</v>
      </c>
      <c r="I58">
        <v>3.28999996185303</v>
      </c>
      <c r="J58">
        <v>0</v>
      </c>
      <c r="K58">
        <v>0</v>
      </c>
      <c r="L58">
        <v>0</v>
      </c>
      <c r="M58">
        <v>184</v>
      </c>
      <c r="N58">
        <v>620</v>
      </c>
      <c r="O58">
        <v>1807</v>
      </c>
      <c r="P58" s="3" cm="1">
        <f t="array" ref="P58">_xlfn.XLOOKUP(A58&amp;B58,'[1]Daily Sleep'!$A$2:$A$468&amp;'[1]Daily Sleep'!$B$2:$B$468,'[1]Daily Sleep'!$D$2:$D$468,"")</f>
        <v>3.6833333333333331</v>
      </c>
      <c r="Q58" t="str">
        <f t="shared" si="0"/>
        <v>Saturday</v>
      </c>
      <c r="R58" t="str">
        <f t="shared" si="1"/>
        <v>Weekday</v>
      </c>
    </row>
    <row r="59" spans="1:18" x14ac:dyDescent="0.35">
      <c r="A59">
        <v>1844505072</v>
      </c>
      <c r="B59" s="1">
        <v>42470</v>
      </c>
      <c r="C59">
        <v>6556</v>
      </c>
      <c r="D59">
        <v>4.3400001525878897</v>
      </c>
      <c r="E59">
        <v>4.3400001525878897</v>
      </c>
      <c r="F59">
        <v>0</v>
      </c>
      <c r="G59">
        <v>0</v>
      </c>
      <c r="H59">
        <v>0</v>
      </c>
      <c r="I59">
        <v>4.3299999237060502</v>
      </c>
      <c r="J59">
        <v>0</v>
      </c>
      <c r="K59">
        <v>0</v>
      </c>
      <c r="L59">
        <v>0</v>
      </c>
      <c r="M59">
        <v>305</v>
      </c>
      <c r="N59">
        <v>810</v>
      </c>
      <c r="O59">
        <v>1971</v>
      </c>
      <c r="P59" s="3" cm="1">
        <f t="array" ref="P59">_xlfn.XLOOKUP(A59&amp;B59,'[1]Daily Sleep'!$A$2:$A$468&amp;'[1]Daily Sleep'!$B$2:$B$468,'[1]Daily Sleep'!$D$2:$D$468,"")</f>
        <v>4.6166666666666663</v>
      </c>
      <c r="Q59" t="str">
        <f t="shared" si="0"/>
        <v>Sunday</v>
      </c>
      <c r="R59" t="str">
        <f t="shared" si="1"/>
        <v>Weekday</v>
      </c>
    </row>
    <row r="60" spans="1:18" x14ac:dyDescent="0.35">
      <c r="A60">
        <v>1844505072</v>
      </c>
      <c r="B60" s="1">
        <v>42471</v>
      </c>
      <c r="C60">
        <v>5430</v>
      </c>
      <c r="D60">
        <v>3.5899999141693102</v>
      </c>
      <c r="E60">
        <v>3.5899999141693102</v>
      </c>
      <c r="F60">
        <v>0</v>
      </c>
      <c r="G60">
        <v>0</v>
      </c>
      <c r="H60">
        <v>0</v>
      </c>
      <c r="I60">
        <v>3.5899999141693102</v>
      </c>
      <c r="J60">
        <v>0</v>
      </c>
      <c r="K60">
        <v>0</v>
      </c>
      <c r="L60">
        <v>0</v>
      </c>
      <c r="M60">
        <v>251</v>
      </c>
      <c r="N60">
        <v>1189</v>
      </c>
      <c r="O60">
        <v>1888</v>
      </c>
      <c r="P60" s="3" t="str" cm="1">
        <f t="array" ref="P60">_xlfn.XLOOKUP(A60&amp;B60,'[1]Daily Sleep'!$A$2:$A$468&amp;'[1]Daily Sleep'!$B$2:$B$468,'[1]Daily Sleep'!$D$2:$D$468,"")</f>
        <v/>
      </c>
      <c r="Q60" t="str">
        <f t="shared" si="0"/>
        <v>Monday</v>
      </c>
      <c r="R60" t="str">
        <f t="shared" si="1"/>
        <v>Weekday</v>
      </c>
    </row>
    <row r="61" spans="1:18" x14ac:dyDescent="0.35">
      <c r="A61">
        <v>1844505072</v>
      </c>
      <c r="B61" s="1">
        <v>42472</v>
      </c>
      <c r="C61">
        <v>0</v>
      </c>
      <c r="D61">
        <v>0</v>
      </c>
      <c r="E61">
        <v>0</v>
      </c>
      <c r="F61">
        <v>0</v>
      </c>
      <c r="G61">
        <v>0</v>
      </c>
      <c r="H61">
        <v>0</v>
      </c>
      <c r="I61">
        <v>0</v>
      </c>
      <c r="J61">
        <v>0</v>
      </c>
      <c r="K61">
        <v>0</v>
      </c>
      <c r="L61">
        <v>0</v>
      </c>
      <c r="M61">
        <v>0</v>
      </c>
      <c r="N61">
        <v>426</v>
      </c>
      <c r="O61">
        <v>399</v>
      </c>
      <c r="P61" s="3" t="str" cm="1">
        <f t="array" ref="P61">_xlfn.XLOOKUP(A61&amp;B61,'[1]Daily Sleep'!$A$2:$A$468&amp;'[1]Daily Sleep'!$B$2:$B$468,'[1]Daily Sleep'!$D$2:$D$468,"")</f>
        <v/>
      </c>
      <c r="Q61" t="str">
        <f t="shared" si="0"/>
        <v>Tuesday</v>
      </c>
      <c r="R61" t="str">
        <f t="shared" si="1"/>
        <v>Weekend</v>
      </c>
    </row>
    <row r="62" spans="1:18" x14ac:dyDescent="0.35">
      <c r="A62">
        <v>1927972279</v>
      </c>
      <c r="B62" s="1">
        <v>42461</v>
      </c>
      <c r="C62">
        <v>4317</v>
      </c>
      <c r="D62">
        <v>2.9900000095367401</v>
      </c>
      <c r="E62">
        <v>2.9900000095367401</v>
      </c>
      <c r="F62">
        <v>0</v>
      </c>
      <c r="G62">
        <v>0</v>
      </c>
      <c r="H62">
        <v>0.37000000476837203</v>
      </c>
      <c r="I62">
        <v>2.6199998855590798</v>
      </c>
      <c r="J62">
        <v>0</v>
      </c>
      <c r="K62">
        <v>0</v>
      </c>
      <c r="L62">
        <v>11</v>
      </c>
      <c r="M62">
        <v>192</v>
      </c>
      <c r="N62">
        <v>854</v>
      </c>
      <c r="O62">
        <v>2590</v>
      </c>
      <c r="P62" s="3" cm="1">
        <f t="array" ref="P62">_xlfn.XLOOKUP(A62&amp;B62,'[1]Daily Sleep'!$A$2:$A$468&amp;'[1]Daily Sleep'!$B$2:$B$468,'[1]Daily Sleep'!$D$2:$D$468,"")</f>
        <v>6.15</v>
      </c>
      <c r="Q62" t="str">
        <f t="shared" si="0"/>
        <v>Friday</v>
      </c>
      <c r="R62" t="str">
        <f t="shared" si="1"/>
        <v>Weekend</v>
      </c>
    </row>
    <row r="63" spans="1:18" x14ac:dyDescent="0.35">
      <c r="A63">
        <v>1927972279</v>
      </c>
      <c r="B63" s="1">
        <v>42462</v>
      </c>
      <c r="C63">
        <v>5662</v>
      </c>
      <c r="D63">
        <v>3.9200000762939502</v>
      </c>
      <c r="E63">
        <v>3.9200000762939502</v>
      </c>
      <c r="F63">
        <v>0</v>
      </c>
      <c r="G63">
        <v>0</v>
      </c>
      <c r="H63">
        <v>0</v>
      </c>
      <c r="I63">
        <v>3.9200000762939502</v>
      </c>
      <c r="J63">
        <v>0</v>
      </c>
      <c r="K63">
        <v>0</v>
      </c>
      <c r="L63">
        <v>0</v>
      </c>
      <c r="M63">
        <v>267</v>
      </c>
      <c r="N63">
        <v>858</v>
      </c>
      <c r="O63">
        <v>2783</v>
      </c>
      <c r="P63" s="3" cm="1">
        <f t="array" ref="P63">_xlfn.XLOOKUP(A63&amp;B63,'[1]Daily Sleep'!$A$2:$A$468&amp;'[1]Daily Sleep'!$B$2:$B$468,'[1]Daily Sleep'!$D$2:$D$468,"")</f>
        <v>4.666666666666667</v>
      </c>
      <c r="Q63" t="str">
        <f t="shared" si="0"/>
        <v>Saturday</v>
      </c>
      <c r="R63" t="str">
        <f t="shared" si="1"/>
        <v>Weekday</v>
      </c>
    </row>
    <row r="64" spans="1:18" x14ac:dyDescent="0.35">
      <c r="A64">
        <v>1927972279</v>
      </c>
      <c r="B64" s="1">
        <v>42463</v>
      </c>
      <c r="C64">
        <v>3198</v>
      </c>
      <c r="D64">
        <v>2.21000003814697</v>
      </c>
      <c r="E64">
        <v>2.21000003814697</v>
      </c>
      <c r="F64">
        <v>0</v>
      </c>
      <c r="G64">
        <v>0</v>
      </c>
      <c r="H64">
        <v>0</v>
      </c>
      <c r="I64">
        <v>2.21000003814697</v>
      </c>
      <c r="J64">
        <v>0</v>
      </c>
      <c r="K64">
        <v>0</v>
      </c>
      <c r="L64">
        <v>0</v>
      </c>
      <c r="M64">
        <v>146</v>
      </c>
      <c r="N64">
        <v>1183</v>
      </c>
      <c r="O64">
        <v>2449</v>
      </c>
      <c r="P64" s="3" cm="1">
        <f t="array" ref="P64">_xlfn.XLOOKUP(A64&amp;B64,'[1]Daily Sleep'!$A$2:$A$468&amp;'[1]Daily Sleep'!$B$2:$B$468,'[1]Daily Sleep'!$D$2:$D$468,"")</f>
        <v>1.7833333333333334</v>
      </c>
      <c r="Q64" t="str">
        <f t="shared" si="0"/>
        <v>Sunday</v>
      </c>
      <c r="R64" t="str">
        <f t="shared" si="1"/>
        <v>Weekday</v>
      </c>
    </row>
    <row r="65" spans="1:18" x14ac:dyDescent="0.35">
      <c r="A65">
        <v>1927972279</v>
      </c>
      <c r="B65" s="1">
        <v>42464</v>
      </c>
      <c r="C65">
        <v>2352</v>
      </c>
      <c r="D65">
        <v>1.62999999523163</v>
      </c>
      <c r="E65">
        <v>1.62999999523163</v>
      </c>
      <c r="F65">
        <v>0</v>
      </c>
      <c r="G65">
        <v>0</v>
      </c>
      <c r="H65">
        <v>0</v>
      </c>
      <c r="I65">
        <v>1.62999999523163</v>
      </c>
      <c r="J65">
        <v>0</v>
      </c>
      <c r="K65">
        <v>0</v>
      </c>
      <c r="L65">
        <v>0</v>
      </c>
      <c r="M65">
        <v>128</v>
      </c>
      <c r="N65">
        <v>829</v>
      </c>
      <c r="O65">
        <v>2380</v>
      </c>
      <c r="P65" s="3" cm="1">
        <f t="array" ref="P65">_xlfn.XLOOKUP(A65&amp;B65,'[1]Daily Sleep'!$A$2:$A$468&amp;'[1]Daily Sleep'!$B$2:$B$468,'[1]Daily Sleep'!$D$2:$D$468,"")</f>
        <v>7.75</v>
      </c>
      <c r="Q65" t="str">
        <f t="shared" si="0"/>
        <v>Monday</v>
      </c>
      <c r="R65" t="str">
        <f t="shared" si="1"/>
        <v>Weekday</v>
      </c>
    </row>
    <row r="66" spans="1:18" x14ac:dyDescent="0.35">
      <c r="A66">
        <v>1927972279</v>
      </c>
      <c r="B66" s="1">
        <v>42465</v>
      </c>
      <c r="C66">
        <v>2234</v>
      </c>
      <c r="D66">
        <v>1.54999995231628</v>
      </c>
      <c r="E66">
        <v>1.54999995231628</v>
      </c>
      <c r="F66">
        <v>0</v>
      </c>
      <c r="G66">
        <v>0</v>
      </c>
      <c r="H66">
        <v>0</v>
      </c>
      <c r="I66">
        <v>1.54999995231628</v>
      </c>
      <c r="J66">
        <v>0</v>
      </c>
      <c r="K66">
        <v>0</v>
      </c>
      <c r="L66">
        <v>0</v>
      </c>
      <c r="M66">
        <v>108</v>
      </c>
      <c r="N66">
        <v>912</v>
      </c>
      <c r="O66">
        <v>2344</v>
      </c>
      <c r="P66" s="3" cm="1">
        <f t="array" ref="P66">_xlfn.XLOOKUP(A66&amp;B66,'[1]Daily Sleep'!$A$2:$A$468&amp;'[1]Daily Sleep'!$B$2:$B$468,'[1]Daily Sleep'!$D$2:$D$468,"")</f>
        <v>6.55</v>
      </c>
      <c r="Q66" t="str">
        <f t="shared" si="0"/>
        <v>Tuesday</v>
      </c>
      <c r="R66" t="str">
        <f t="shared" si="1"/>
        <v>Weekday</v>
      </c>
    </row>
    <row r="67" spans="1:18" x14ac:dyDescent="0.35">
      <c r="A67">
        <v>1927972279</v>
      </c>
      <c r="B67" s="1">
        <v>42466</v>
      </c>
      <c r="C67">
        <v>1259</v>
      </c>
      <c r="D67">
        <v>0.87000000476837203</v>
      </c>
      <c r="E67">
        <v>0.87000000476837203</v>
      </c>
      <c r="F67">
        <v>0</v>
      </c>
      <c r="G67">
        <v>0</v>
      </c>
      <c r="H67">
        <v>0</v>
      </c>
      <c r="I67">
        <v>0.87000000476837203</v>
      </c>
      <c r="J67">
        <v>0</v>
      </c>
      <c r="K67">
        <v>0</v>
      </c>
      <c r="L67">
        <v>0</v>
      </c>
      <c r="M67">
        <v>73</v>
      </c>
      <c r="N67">
        <v>938</v>
      </c>
      <c r="O67">
        <v>2202</v>
      </c>
      <c r="P67" s="3" cm="1">
        <f t="array" ref="P67">_xlfn.XLOOKUP(A67&amp;B67,'[1]Daily Sleep'!$A$2:$A$468&amp;'[1]Daily Sleep'!$B$2:$B$468,'[1]Daily Sleep'!$D$2:$D$468,"")</f>
        <v>6.9</v>
      </c>
      <c r="Q67" t="str">
        <f t="shared" ref="Q67:Q130" si="2">TEXT(B67,"dddd")</f>
        <v>Wednesday</v>
      </c>
      <c r="R67" t="str">
        <f t="shared" ref="R67:R130" si="3">IF(OR(WEEKDAY(B68,2)=5,WEEKDAY(B68,2)=6),"Weekend","Weekday")</f>
        <v>Weekday</v>
      </c>
    </row>
    <row r="68" spans="1:18" x14ac:dyDescent="0.35">
      <c r="A68">
        <v>1927972279</v>
      </c>
      <c r="B68" s="1">
        <v>42467</v>
      </c>
      <c r="C68">
        <v>768</v>
      </c>
      <c r="D68">
        <v>0.52999997138977095</v>
      </c>
      <c r="E68">
        <v>0.52999997138977095</v>
      </c>
      <c r="F68">
        <v>0</v>
      </c>
      <c r="G68">
        <v>0</v>
      </c>
      <c r="H68">
        <v>0</v>
      </c>
      <c r="I68">
        <v>0.52999997138977095</v>
      </c>
      <c r="J68">
        <v>0</v>
      </c>
      <c r="K68">
        <v>0</v>
      </c>
      <c r="L68">
        <v>0</v>
      </c>
      <c r="M68">
        <v>43</v>
      </c>
      <c r="N68">
        <v>1397</v>
      </c>
      <c r="O68">
        <v>2130</v>
      </c>
      <c r="P68" s="3" t="str" cm="1">
        <f t="array" ref="P68">_xlfn.XLOOKUP(A68&amp;B68,'[1]Daily Sleep'!$A$2:$A$468&amp;'[1]Daily Sleep'!$B$2:$B$468,'[1]Daily Sleep'!$D$2:$D$468,"")</f>
        <v/>
      </c>
      <c r="Q68" t="str">
        <f t="shared" si="2"/>
        <v>Thursday</v>
      </c>
      <c r="R68" t="str">
        <f t="shared" si="3"/>
        <v>Weekend</v>
      </c>
    </row>
    <row r="69" spans="1:18" x14ac:dyDescent="0.35">
      <c r="A69">
        <v>1927972279</v>
      </c>
      <c r="B69" s="1">
        <v>42468</v>
      </c>
      <c r="C69">
        <v>519</v>
      </c>
      <c r="D69">
        <v>0.36000001430511502</v>
      </c>
      <c r="E69">
        <v>0.36000001430511502</v>
      </c>
      <c r="F69">
        <v>0</v>
      </c>
      <c r="G69">
        <v>0</v>
      </c>
      <c r="H69">
        <v>0</v>
      </c>
      <c r="I69">
        <v>0.36000001430511502</v>
      </c>
      <c r="J69">
        <v>0</v>
      </c>
      <c r="K69">
        <v>0</v>
      </c>
      <c r="L69">
        <v>0</v>
      </c>
      <c r="M69">
        <v>34</v>
      </c>
      <c r="N69">
        <v>1406</v>
      </c>
      <c r="O69">
        <v>2088</v>
      </c>
      <c r="P69" s="3" t="str" cm="1">
        <f t="array" ref="P69">_xlfn.XLOOKUP(A69&amp;B69,'[1]Daily Sleep'!$A$2:$A$468&amp;'[1]Daily Sleep'!$B$2:$B$468,'[1]Daily Sleep'!$D$2:$D$468,"")</f>
        <v/>
      </c>
      <c r="Q69" t="str">
        <f t="shared" si="2"/>
        <v>Friday</v>
      </c>
      <c r="R69" t="str">
        <f t="shared" si="3"/>
        <v>Weekend</v>
      </c>
    </row>
    <row r="70" spans="1:18" x14ac:dyDescent="0.35">
      <c r="A70">
        <v>1927972279</v>
      </c>
      <c r="B70" s="1">
        <v>42469</v>
      </c>
      <c r="C70">
        <v>2523</v>
      </c>
      <c r="D70">
        <v>1.75</v>
      </c>
      <c r="E70">
        <v>1.75</v>
      </c>
      <c r="F70">
        <v>0</v>
      </c>
      <c r="G70">
        <v>0</v>
      </c>
      <c r="H70">
        <v>0.37000000476837203</v>
      </c>
      <c r="I70">
        <v>1.37999999523163</v>
      </c>
      <c r="J70">
        <v>0</v>
      </c>
      <c r="K70">
        <v>0</v>
      </c>
      <c r="L70">
        <v>9</v>
      </c>
      <c r="M70">
        <v>134</v>
      </c>
      <c r="N70">
        <v>1250</v>
      </c>
      <c r="O70">
        <v>2443</v>
      </c>
      <c r="P70" s="3" cm="1">
        <f t="array" ref="P70">_xlfn.XLOOKUP(A70&amp;B70,'[1]Daily Sleep'!$A$2:$A$468&amp;'[1]Daily Sleep'!$B$2:$B$468,'[1]Daily Sleep'!$D$2:$D$468,"")</f>
        <v>0.65</v>
      </c>
      <c r="Q70" t="str">
        <f t="shared" si="2"/>
        <v>Saturday</v>
      </c>
      <c r="R70" t="str">
        <f t="shared" si="3"/>
        <v>Weekday</v>
      </c>
    </row>
    <row r="71" spans="1:18" x14ac:dyDescent="0.35">
      <c r="A71">
        <v>1927972279</v>
      </c>
      <c r="B71" s="1">
        <v>42470</v>
      </c>
      <c r="C71">
        <v>2105</v>
      </c>
      <c r="D71">
        <v>1.46000003814697</v>
      </c>
      <c r="E71">
        <v>1.46000003814697</v>
      </c>
      <c r="F71">
        <v>0</v>
      </c>
      <c r="G71">
        <v>0</v>
      </c>
      <c r="H71">
        <v>0</v>
      </c>
      <c r="I71">
        <v>1.46000003814697</v>
      </c>
      <c r="J71">
        <v>0</v>
      </c>
      <c r="K71">
        <v>0</v>
      </c>
      <c r="L71">
        <v>0</v>
      </c>
      <c r="M71">
        <v>139</v>
      </c>
      <c r="N71">
        <v>805</v>
      </c>
      <c r="O71">
        <v>2442</v>
      </c>
      <c r="P71" s="3" cm="1">
        <f t="array" ref="P71">_xlfn.XLOOKUP(A71&amp;B71,'[1]Daily Sleep'!$A$2:$A$468&amp;'[1]Daily Sleep'!$B$2:$B$468,'[1]Daily Sleep'!$D$2:$D$468,"")</f>
        <v>7.9833333333333334</v>
      </c>
      <c r="Q71" t="str">
        <f t="shared" si="2"/>
        <v>Sunday</v>
      </c>
      <c r="R71" t="str">
        <f t="shared" si="3"/>
        <v>Weekday</v>
      </c>
    </row>
    <row r="72" spans="1:18" x14ac:dyDescent="0.35">
      <c r="A72">
        <v>1927972279</v>
      </c>
      <c r="B72" s="1">
        <v>42471</v>
      </c>
      <c r="C72">
        <v>1209</v>
      </c>
      <c r="D72">
        <v>0.83999997377395597</v>
      </c>
      <c r="E72">
        <v>0.83999997377395597</v>
      </c>
      <c r="F72">
        <v>0</v>
      </c>
      <c r="G72">
        <v>0</v>
      </c>
      <c r="H72">
        <v>0</v>
      </c>
      <c r="I72">
        <v>0.83999997377395597</v>
      </c>
      <c r="J72">
        <v>0</v>
      </c>
      <c r="K72">
        <v>0</v>
      </c>
      <c r="L72">
        <v>0</v>
      </c>
      <c r="M72">
        <v>73</v>
      </c>
      <c r="N72">
        <v>842</v>
      </c>
      <c r="O72">
        <v>2255</v>
      </c>
      <c r="P72" s="3" cm="1">
        <f t="array" ref="P72">_xlfn.XLOOKUP(A72&amp;B72,'[1]Daily Sleep'!$A$2:$A$468&amp;'[1]Daily Sleep'!$B$2:$B$468,'[1]Daily Sleep'!$D$2:$D$468,"")</f>
        <v>8.2666666666666675</v>
      </c>
      <c r="Q72" t="str">
        <f t="shared" si="2"/>
        <v>Monday</v>
      </c>
      <c r="R72" t="str">
        <f t="shared" si="3"/>
        <v>Weekday</v>
      </c>
    </row>
    <row r="73" spans="1:18" x14ac:dyDescent="0.35">
      <c r="A73">
        <v>1927972279</v>
      </c>
      <c r="B73" s="1">
        <v>42472</v>
      </c>
      <c r="C73">
        <v>24</v>
      </c>
      <c r="D73">
        <v>1.9999999552965199E-2</v>
      </c>
      <c r="E73">
        <v>1.9999999552965199E-2</v>
      </c>
      <c r="F73">
        <v>0</v>
      </c>
      <c r="G73">
        <v>0</v>
      </c>
      <c r="H73">
        <v>0</v>
      </c>
      <c r="I73">
        <v>1.9999999552965199E-2</v>
      </c>
      <c r="J73">
        <v>0</v>
      </c>
      <c r="K73">
        <v>0</v>
      </c>
      <c r="L73">
        <v>0</v>
      </c>
      <c r="M73">
        <v>3</v>
      </c>
      <c r="N73">
        <v>161</v>
      </c>
      <c r="O73">
        <v>942</v>
      </c>
      <c r="P73" s="3" cm="1">
        <f t="array" ref="P73">_xlfn.XLOOKUP(A73&amp;B73,'[1]Daily Sleep'!$A$2:$A$468&amp;'[1]Daily Sleep'!$B$2:$B$468,'[1]Daily Sleep'!$D$2:$D$468,"")</f>
        <v>8.0333333333333332</v>
      </c>
      <c r="Q73" t="str">
        <f t="shared" si="2"/>
        <v>Tuesday</v>
      </c>
      <c r="R73" t="str">
        <f t="shared" si="3"/>
        <v>Weekend</v>
      </c>
    </row>
    <row r="74" spans="1:18" x14ac:dyDescent="0.35">
      <c r="A74">
        <v>2022484408</v>
      </c>
      <c r="B74" s="1">
        <v>42461</v>
      </c>
      <c r="C74">
        <v>13603</v>
      </c>
      <c r="D74">
        <v>9.6000003814697301</v>
      </c>
      <c r="E74">
        <v>9.6000003814697301</v>
      </c>
      <c r="F74">
        <v>0</v>
      </c>
      <c r="G74">
        <v>5.46000003814697</v>
      </c>
      <c r="H74">
        <v>0.62999999523162797</v>
      </c>
      <c r="I74">
        <v>3.5099999904632599</v>
      </c>
      <c r="J74">
        <v>0</v>
      </c>
      <c r="K74">
        <v>72</v>
      </c>
      <c r="L74">
        <v>16</v>
      </c>
      <c r="M74">
        <v>213</v>
      </c>
      <c r="N74">
        <v>1139</v>
      </c>
      <c r="O74">
        <v>2645</v>
      </c>
      <c r="P74" s="3" t="str" cm="1">
        <f t="array" ref="P74">_xlfn.XLOOKUP(A74&amp;B74,'[1]Daily Sleep'!$A$2:$A$468&amp;'[1]Daily Sleep'!$B$2:$B$468,'[1]Daily Sleep'!$D$2:$D$468,"")</f>
        <v/>
      </c>
      <c r="Q74" t="str">
        <f t="shared" si="2"/>
        <v>Friday</v>
      </c>
      <c r="R74" t="str">
        <f t="shared" si="3"/>
        <v>Weekend</v>
      </c>
    </row>
    <row r="75" spans="1:18" x14ac:dyDescent="0.35">
      <c r="A75">
        <v>2022484408</v>
      </c>
      <c r="B75" s="1">
        <v>42462</v>
      </c>
      <c r="C75">
        <v>5477</v>
      </c>
      <c r="D75">
        <v>3.8399999141693102</v>
      </c>
      <c r="E75">
        <v>3.8399999141693102</v>
      </c>
      <c r="F75">
        <v>0</v>
      </c>
      <c r="G75">
        <v>0</v>
      </c>
      <c r="H75">
        <v>0</v>
      </c>
      <c r="I75">
        <v>3.8399999141693102</v>
      </c>
      <c r="J75">
        <v>0</v>
      </c>
      <c r="K75">
        <v>0</v>
      </c>
      <c r="L75">
        <v>0</v>
      </c>
      <c r="M75">
        <v>237</v>
      </c>
      <c r="N75">
        <v>1203</v>
      </c>
      <c r="O75">
        <v>2040</v>
      </c>
      <c r="P75" s="3" t="str" cm="1">
        <f t="array" ref="P75">_xlfn.XLOOKUP(A75&amp;B75,'[1]Daily Sleep'!$A$2:$A$468&amp;'[1]Daily Sleep'!$B$2:$B$468,'[1]Daily Sleep'!$D$2:$D$468,"")</f>
        <v/>
      </c>
      <c r="Q75" t="str">
        <f t="shared" si="2"/>
        <v>Saturday</v>
      </c>
      <c r="R75" t="str">
        <f t="shared" si="3"/>
        <v>Weekday</v>
      </c>
    </row>
    <row r="76" spans="1:18" x14ac:dyDescent="0.35">
      <c r="A76">
        <v>2022484408</v>
      </c>
      <c r="B76" s="1">
        <v>42463</v>
      </c>
      <c r="C76">
        <v>11144</v>
      </c>
      <c r="D76">
        <v>7.8200001716613796</v>
      </c>
      <c r="E76">
        <v>7.8200001716613796</v>
      </c>
      <c r="F76">
        <v>0</v>
      </c>
      <c r="G76">
        <v>1.78999996185303</v>
      </c>
      <c r="H76">
        <v>0.88999998569488503</v>
      </c>
      <c r="I76">
        <v>5.1399998664856001</v>
      </c>
      <c r="J76">
        <v>0</v>
      </c>
      <c r="K76">
        <v>25</v>
      </c>
      <c r="L76">
        <v>22</v>
      </c>
      <c r="M76">
        <v>279</v>
      </c>
      <c r="N76">
        <v>1114</v>
      </c>
      <c r="O76">
        <v>2395</v>
      </c>
      <c r="P76" s="3" t="str" cm="1">
        <f t="array" ref="P76">_xlfn.XLOOKUP(A76&amp;B76,'[1]Daily Sleep'!$A$2:$A$468&amp;'[1]Daily Sleep'!$B$2:$B$468,'[1]Daily Sleep'!$D$2:$D$468,"")</f>
        <v/>
      </c>
      <c r="Q76" t="str">
        <f t="shared" si="2"/>
        <v>Sunday</v>
      </c>
      <c r="R76" t="str">
        <f t="shared" si="3"/>
        <v>Weekday</v>
      </c>
    </row>
    <row r="77" spans="1:18" x14ac:dyDescent="0.35">
      <c r="A77">
        <v>2022484408</v>
      </c>
      <c r="B77" s="1">
        <v>42464</v>
      </c>
      <c r="C77">
        <v>15313</v>
      </c>
      <c r="D77">
        <v>11</v>
      </c>
      <c r="E77">
        <v>11</v>
      </c>
      <c r="F77">
        <v>0</v>
      </c>
      <c r="G77">
        <v>5.0199999809265101</v>
      </c>
      <c r="H77">
        <v>1.28999996185303</v>
      </c>
      <c r="I77">
        <v>4.6900000572204599</v>
      </c>
      <c r="J77">
        <v>0</v>
      </c>
      <c r="K77">
        <v>62</v>
      </c>
      <c r="L77">
        <v>19</v>
      </c>
      <c r="M77">
        <v>233</v>
      </c>
      <c r="N77">
        <v>1126</v>
      </c>
      <c r="O77">
        <v>2581</v>
      </c>
      <c r="P77" s="3" t="str" cm="1">
        <f t="array" ref="P77">_xlfn.XLOOKUP(A77&amp;B77,'[1]Daily Sleep'!$A$2:$A$468&amp;'[1]Daily Sleep'!$B$2:$B$468,'[1]Daily Sleep'!$D$2:$D$468,"")</f>
        <v/>
      </c>
      <c r="Q77" t="str">
        <f t="shared" si="2"/>
        <v>Monday</v>
      </c>
      <c r="R77" t="str">
        <f t="shared" si="3"/>
        <v>Weekday</v>
      </c>
    </row>
    <row r="78" spans="1:18" x14ac:dyDescent="0.35">
      <c r="A78">
        <v>2022484408</v>
      </c>
      <c r="B78" s="1">
        <v>42465</v>
      </c>
      <c r="C78">
        <v>10805</v>
      </c>
      <c r="D78">
        <v>7.5900001525878897</v>
      </c>
      <c r="E78">
        <v>7.5900001525878897</v>
      </c>
      <c r="F78">
        <v>0</v>
      </c>
      <c r="G78">
        <v>0.72000002861022905</v>
      </c>
      <c r="H78">
        <v>0.980000019073486</v>
      </c>
      <c r="I78">
        <v>5.8899998664856001</v>
      </c>
      <c r="J78">
        <v>0</v>
      </c>
      <c r="K78">
        <v>36</v>
      </c>
      <c r="L78">
        <v>37</v>
      </c>
      <c r="M78">
        <v>298</v>
      </c>
      <c r="N78">
        <v>1069</v>
      </c>
      <c r="O78">
        <v>2735</v>
      </c>
      <c r="P78" s="3" t="str" cm="1">
        <f t="array" ref="P78">_xlfn.XLOOKUP(A78&amp;B78,'[1]Daily Sleep'!$A$2:$A$468&amp;'[1]Daily Sleep'!$B$2:$B$468,'[1]Daily Sleep'!$D$2:$D$468,"")</f>
        <v/>
      </c>
      <c r="Q78" t="str">
        <f t="shared" si="2"/>
        <v>Tuesday</v>
      </c>
      <c r="R78" t="str">
        <f t="shared" si="3"/>
        <v>Weekday</v>
      </c>
    </row>
    <row r="79" spans="1:18" x14ac:dyDescent="0.35">
      <c r="A79">
        <v>2022484408</v>
      </c>
      <c r="B79" s="1">
        <v>42466</v>
      </c>
      <c r="C79">
        <v>15392</v>
      </c>
      <c r="D79">
        <v>10.930000305175801</v>
      </c>
      <c r="E79">
        <v>10.930000305175801</v>
      </c>
      <c r="F79">
        <v>0</v>
      </c>
      <c r="G79">
        <v>3.4300000667571999</v>
      </c>
      <c r="H79">
        <v>1.75</v>
      </c>
      <c r="I79">
        <v>5.75</v>
      </c>
      <c r="J79">
        <v>0</v>
      </c>
      <c r="K79">
        <v>47</v>
      </c>
      <c r="L79">
        <v>42</v>
      </c>
      <c r="M79">
        <v>258</v>
      </c>
      <c r="N79">
        <v>1093</v>
      </c>
      <c r="O79">
        <v>2733</v>
      </c>
      <c r="P79" s="3" t="str" cm="1">
        <f t="array" ref="P79">_xlfn.XLOOKUP(A79&amp;B79,'[1]Daily Sleep'!$A$2:$A$468&amp;'[1]Daily Sleep'!$B$2:$B$468,'[1]Daily Sleep'!$D$2:$D$468,"")</f>
        <v/>
      </c>
      <c r="Q79" t="str">
        <f t="shared" si="2"/>
        <v>Wednesday</v>
      </c>
      <c r="R79" t="str">
        <f t="shared" si="3"/>
        <v>Weekday</v>
      </c>
    </row>
    <row r="80" spans="1:18" x14ac:dyDescent="0.35">
      <c r="A80">
        <v>2022484408</v>
      </c>
      <c r="B80" s="1">
        <v>42467</v>
      </c>
      <c r="C80">
        <v>18247</v>
      </c>
      <c r="D80">
        <v>13.829999923706101</v>
      </c>
      <c r="E80">
        <v>13.829999923706101</v>
      </c>
      <c r="F80">
        <v>0</v>
      </c>
      <c r="G80">
        <v>7.1100001335143999</v>
      </c>
      <c r="H80">
        <v>2.21000003814697</v>
      </c>
      <c r="I80">
        <v>4.5100002288818404</v>
      </c>
      <c r="J80">
        <v>0</v>
      </c>
      <c r="K80">
        <v>72</v>
      </c>
      <c r="L80">
        <v>62</v>
      </c>
      <c r="M80">
        <v>252</v>
      </c>
      <c r="N80">
        <v>1054</v>
      </c>
      <c r="O80">
        <v>3021</v>
      </c>
      <c r="P80" s="3" t="str" cm="1">
        <f t="array" ref="P80">_xlfn.XLOOKUP(A80&amp;B80,'[1]Daily Sleep'!$A$2:$A$468&amp;'[1]Daily Sleep'!$B$2:$B$468,'[1]Daily Sleep'!$D$2:$D$468,"")</f>
        <v/>
      </c>
      <c r="Q80" t="str">
        <f t="shared" si="2"/>
        <v>Thursday</v>
      </c>
      <c r="R80" t="str">
        <f t="shared" si="3"/>
        <v>Weekend</v>
      </c>
    </row>
    <row r="81" spans="1:20" x14ac:dyDescent="0.35">
      <c r="A81">
        <v>2022484408</v>
      </c>
      <c r="B81" s="1">
        <v>42468</v>
      </c>
      <c r="C81">
        <v>13023</v>
      </c>
      <c r="D81">
        <v>9.2600002288818395</v>
      </c>
      <c r="E81">
        <v>9.2600002288818395</v>
      </c>
      <c r="F81">
        <v>0</v>
      </c>
      <c r="G81">
        <v>3.2300000190734899</v>
      </c>
      <c r="H81">
        <v>0.56000000238418601</v>
      </c>
      <c r="I81">
        <v>5.4699997901916504</v>
      </c>
      <c r="J81">
        <v>0</v>
      </c>
      <c r="K81">
        <v>40</v>
      </c>
      <c r="L81">
        <v>12</v>
      </c>
      <c r="M81">
        <v>296</v>
      </c>
      <c r="N81">
        <v>1092</v>
      </c>
      <c r="O81">
        <v>2577</v>
      </c>
      <c r="P81" s="3" t="str" cm="1">
        <f t="array" ref="P81">_xlfn.XLOOKUP(A81&amp;B81,'[1]Daily Sleep'!$A$2:$A$468&amp;'[1]Daily Sleep'!$B$2:$B$468,'[1]Daily Sleep'!$D$2:$D$468,"")</f>
        <v/>
      </c>
      <c r="Q81" t="str">
        <f t="shared" si="2"/>
        <v>Friday</v>
      </c>
      <c r="R81" t="str">
        <f t="shared" si="3"/>
        <v>Weekend</v>
      </c>
    </row>
    <row r="82" spans="1:20" x14ac:dyDescent="0.35">
      <c r="A82">
        <v>2022484408</v>
      </c>
      <c r="B82" s="1">
        <v>42469</v>
      </c>
      <c r="C82">
        <v>16267</v>
      </c>
      <c r="D82">
        <v>12.5900001525879</v>
      </c>
      <c r="E82">
        <v>12.5900001525879</v>
      </c>
      <c r="F82">
        <v>0</v>
      </c>
      <c r="G82">
        <v>5.75</v>
      </c>
      <c r="H82">
        <v>0.46999999880790699</v>
      </c>
      <c r="I82">
        <v>6.3699998855590803</v>
      </c>
      <c r="J82">
        <v>0</v>
      </c>
      <c r="K82">
        <v>44</v>
      </c>
      <c r="L82">
        <v>16</v>
      </c>
      <c r="M82">
        <v>302</v>
      </c>
      <c r="N82">
        <v>1078</v>
      </c>
      <c r="O82">
        <v>2811</v>
      </c>
      <c r="P82" s="3" t="str" cm="1">
        <f t="array" ref="P82">_xlfn.XLOOKUP(A82&amp;B82,'[1]Daily Sleep'!$A$2:$A$468&amp;'[1]Daily Sleep'!$B$2:$B$468,'[1]Daily Sleep'!$D$2:$D$468,"")</f>
        <v/>
      </c>
      <c r="Q82" t="str">
        <f t="shared" si="2"/>
        <v>Saturday</v>
      </c>
      <c r="R82" t="str">
        <f t="shared" si="3"/>
        <v>Weekday</v>
      </c>
    </row>
    <row r="83" spans="1:20" x14ac:dyDescent="0.35">
      <c r="A83">
        <v>2022484408</v>
      </c>
      <c r="B83" s="1">
        <v>42470</v>
      </c>
      <c r="C83">
        <v>10005</v>
      </c>
      <c r="D83">
        <v>7.0199999809265101</v>
      </c>
      <c r="E83">
        <v>7.0199999809265101</v>
      </c>
      <c r="F83">
        <v>0</v>
      </c>
      <c r="G83">
        <v>7.9999998211860698E-2</v>
      </c>
      <c r="H83">
        <v>1.04999995231628</v>
      </c>
      <c r="I83">
        <v>5.9000000953674299</v>
      </c>
      <c r="J83">
        <v>0</v>
      </c>
      <c r="K83">
        <v>1</v>
      </c>
      <c r="L83">
        <v>23</v>
      </c>
      <c r="M83">
        <v>339</v>
      </c>
      <c r="N83">
        <v>1077</v>
      </c>
      <c r="O83">
        <v>2458</v>
      </c>
      <c r="P83" s="3" t="str" cm="1">
        <f t="array" ref="P83">_xlfn.XLOOKUP(A83&amp;B83,'[1]Daily Sleep'!$A$2:$A$468&amp;'[1]Daily Sleep'!$B$2:$B$468,'[1]Daily Sleep'!$D$2:$D$468,"")</f>
        <v/>
      </c>
      <c r="Q83" t="str">
        <f t="shared" si="2"/>
        <v>Sunday</v>
      </c>
      <c r="R83" t="str">
        <f t="shared" si="3"/>
        <v>Weekday</v>
      </c>
    </row>
    <row r="84" spans="1:20" x14ac:dyDescent="0.35">
      <c r="A84">
        <v>2022484408</v>
      </c>
      <c r="B84" s="1">
        <v>42471</v>
      </c>
      <c r="C84">
        <v>10106</v>
      </c>
      <c r="D84">
        <v>7.0900001525878897</v>
      </c>
      <c r="E84">
        <v>7.0900001525878897</v>
      </c>
      <c r="F84">
        <v>0</v>
      </c>
      <c r="G84">
        <v>1.21000003814697</v>
      </c>
      <c r="H84">
        <v>0.56000000238418601</v>
      </c>
      <c r="I84">
        <v>5.3299999237060502</v>
      </c>
      <c r="J84">
        <v>0</v>
      </c>
      <c r="K84">
        <v>41</v>
      </c>
      <c r="L84">
        <v>16</v>
      </c>
      <c r="M84">
        <v>272</v>
      </c>
      <c r="N84">
        <v>1111</v>
      </c>
      <c r="O84">
        <v>2568</v>
      </c>
      <c r="P84" s="3" t="str" cm="1">
        <f t="array" ref="P84">_xlfn.XLOOKUP(A84&amp;B84,'[1]Daily Sleep'!$A$2:$A$468&amp;'[1]Daily Sleep'!$B$2:$B$468,'[1]Daily Sleep'!$D$2:$D$468,"")</f>
        <v/>
      </c>
      <c r="Q84" t="str">
        <f t="shared" si="2"/>
        <v>Monday</v>
      </c>
      <c r="R84" t="str">
        <f t="shared" si="3"/>
        <v>Weekday</v>
      </c>
    </row>
    <row r="85" spans="1:20" x14ac:dyDescent="0.35">
      <c r="A85">
        <v>2022484408</v>
      </c>
      <c r="B85" s="1">
        <v>42472</v>
      </c>
      <c r="C85">
        <v>6717</v>
      </c>
      <c r="D85">
        <v>4.7199997901916504</v>
      </c>
      <c r="E85">
        <v>4.7199997901916504</v>
      </c>
      <c r="F85">
        <v>0</v>
      </c>
      <c r="G85">
        <v>3.2300000190734899</v>
      </c>
      <c r="H85">
        <v>0.21999999880790699</v>
      </c>
      <c r="I85">
        <v>1.2699999809265099</v>
      </c>
      <c r="J85">
        <v>0</v>
      </c>
      <c r="K85">
        <v>41</v>
      </c>
      <c r="L85">
        <v>5</v>
      </c>
      <c r="M85">
        <v>67</v>
      </c>
      <c r="N85">
        <v>551</v>
      </c>
      <c r="O85">
        <v>1140</v>
      </c>
      <c r="P85" s="3" t="str" cm="1">
        <f t="array" ref="P85">_xlfn.XLOOKUP(A85&amp;B85,'[1]Daily Sleep'!$A$2:$A$468&amp;'[1]Daily Sleep'!$B$2:$B$468,'[1]Daily Sleep'!$D$2:$D$468,"")</f>
        <v/>
      </c>
      <c r="Q85" t="str">
        <f t="shared" si="2"/>
        <v>Tuesday</v>
      </c>
      <c r="R85" t="str">
        <f t="shared" si="3"/>
        <v>Weekend</v>
      </c>
    </row>
    <row r="86" spans="1:20" x14ac:dyDescent="0.35">
      <c r="A86">
        <v>2026352035</v>
      </c>
      <c r="B86" s="1">
        <v>42461</v>
      </c>
      <c r="C86">
        <v>2605</v>
      </c>
      <c r="D86">
        <v>1.62000000476837</v>
      </c>
      <c r="E86">
        <v>1.62000000476837</v>
      </c>
      <c r="F86">
        <v>0</v>
      </c>
      <c r="G86">
        <v>0</v>
      </c>
      <c r="H86">
        <v>0</v>
      </c>
      <c r="I86">
        <v>1.62000000476837</v>
      </c>
      <c r="J86">
        <v>0</v>
      </c>
      <c r="K86">
        <v>0</v>
      </c>
      <c r="L86">
        <v>0</v>
      </c>
      <c r="M86">
        <v>166</v>
      </c>
      <c r="N86">
        <v>729</v>
      </c>
      <c r="O86">
        <v>1407</v>
      </c>
      <c r="P86" s="3" cm="1">
        <f t="array" ref="P86">_xlfn.XLOOKUP(A86&amp;B86,'[1]Daily Sleep'!$A$2:$A$468&amp;'[1]Daily Sleep'!$B$2:$B$468,'[1]Daily Sleep'!$D$2:$D$468,"")</f>
        <v>8.5666666666666664</v>
      </c>
      <c r="Q86" t="str">
        <f t="shared" si="2"/>
        <v>Friday</v>
      </c>
      <c r="R86" t="str">
        <f t="shared" si="3"/>
        <v>Weekend</v>
      </c>
      <c r="T86">
        <f>CORREL(P2:P443,C2:C443)</f>
        <v>-0.17978996626028859</v>
      </c>
    </row>
    <row r="87" spans="1:20" x14ac:dyDescent="0.35">
      <c r="A87">
        <v>2026352035</v>
      </c>
      <c r="B87" s="1">
        <v>42462</v>
      </c>
      <c r="C87">
        <v>1229</v>
      </c>
      <c r="D87">
        <v>0.75999999046325695</v>
      </c>
      <c r="E87">
        <v>0.75999999046325695</v>
      </c>
      <c r="F87">
        <v>0</v>
      </c>
      <c r="G87">
        <v>0</v>
      </c>
      <c r="H87">
        <v>0</v>
      </c>
      <c r="I87">
        <v>0.75999999046325695</v>
      </c>
      <c r="J87">
        <v>0</v>
      </c>
      <c r="K87">
        <v>0</v>
      </c>
      <c r="L87">
        <v>0</v>
      </c>
      <c r="M87">
        <v>69</v>
      </c>
      <c r="N87">
        <v>795</v>
      </c>
      <c r="O87">
        <v>1237</v>
      </c>
      <c r="P87" s="3" cm="1">
        <f t="array" ref="P87">_xlfn.XLOOKUP(A87&amp;B87,'[1]Daily Sleep'!$A$2:$A$468&amp;'[1]Daily Sleep'!$B$2:$B$468,'[1]Daily Sleep'!$D$2:$D$468,"")</f>
        <v>8.8000000000000007</v>
      </c>
      <c r="Q87" t="str">
        <f t="shared" si="2"/>
        <v>Saturday</v>
      </c>
      <c r="R87" t="str">
        <f t="shared" si="3"/>
        <v>Weekday</v>
      </c>
    </row>
    <row r="88" spans="1:20" x14ac:dyDescent="0.35">
      <c r="A88">
        <v>2026352035</v>
      </c>
      <c r="B88" s="1">
        <v>42463</v>
      </c>
      <c r="C88">
        <v>2308</v>
      </c>
      <c r="D88">
        <v>1.4299999475479099</v>
      </c>
      <c r="E88">
        <v>1.4299999475479099</v>
      </c>
      <c r="F88">
        <v>0</v>
      </c>
      <c r="G88">
        <v>0</v>
      </c>
      <c r="H88">
        <v>0</v>
      </c>
      <c r="I88">
        <v>1.4299999475479099</v>
      </c>
      <c r="J88">
        <v>0</v>
      </c>
      <c r="K88">
        <v>0</v>
      </c>
      <c r="L88">
        <v>0</v>
      </c>
      <c r="M88">
        <v>115</v>
      </c>
      <c r="N88">
        <v>720</v>
      </c>
      <c r="O88">
        <v>1330</v>
      </c>
      <c r="P88" s="3" cm="1">
        <f t="array" ref="P88">_xlfn.XLOOKUP(A88&amp;B88,'[1]Daily Sleep'!$A$2:$A$468&amp;'[1]Daily Sleep'!$B$2:$B$468,'[1]Daily Sleep'!$D$2:$D$468,"")</f>
        <v>8.9</v>
      </c>
      <c r="Q88" t="str">
        <f t="shared" si="2"/>
        <v>Sunday</v>
      </c>
      <c r="R88" t="str">
        <f t="shared" si="3"/>
        <v>Weekday</v>
      </c>
    </row>
    <row r="89" spans="1:20" x14ac:dyDescent="0.35">
      <c r="A89">
        <v>2026352035</v>
      </c>
      <c r="B89" s="1">
        <v>42464</v>
      </c>
      <c r="C89">
        <v>6679</v>
      </c>
      <c r="D89">
        <v>4.1399998664856001</v>
      </c>
      <c r="E89">
        <v>4.1399998664856001</v>
      </c>
      <c r="F89">
        <v>0</v>
      </c>
      <c r="G89">
        <v>0</v>
      </c>
      <c r="H89">
        <v>0</v>
      </c>
      <c r="I89">
        <v>4.1399998664856001</v>
      </c>
      <c r="J89">
        <v>0</v>
      </c>
      <c r="K89">
        <v>0</v>
      </c>
      <c r="L89">
        <v>0</v>
      </c>
      <c r="M89">
        <v>263</v>
      </c>
      <c r="N89">
        <v>644</v>
      </c>
      <c r="O89">
        <v>1583</v>
      </c>
      <c r="P89" s="3" cm="1">
        <f t="array" ref="P89">_xlfn.XLOOKUP(A89&amp;B89,'[1]Daily Sleep'!$A$2:$A$468&amp;'[1]Daily Sleep'!$B$2:$B$468,'[1]Daily Sleep'!$D$2:$D$468,"")</f>
        <v>8.2166666666666668</v>
      </c>
      <c r="Q89" t="str">
        <f t="shared" si="2"/>
        <v>Monday</v>
      </c>
      <c r="R89" t="str">
        <f t="shared" si="3"/>
        <v>Weekday</v>
      </c>
    </row>
    <row r="90" spans="1:20" x14ac:dyDescent="0.35">
      <c r="A90">
        <v>2026352035</v>
      </c>
      <c r="B90" s="1">
        <v>42465</v>
      </c>
      <c r="C90">
        <v>5645</v>
      </c>
      <c r="D90">
        <v>3.5</v>
      </c>
      <c r="E90">
        <v>3.5</v>
      </c>
      <c r="F90">
        <v>0</v>
      </c>
      <c r="G90">
        <v>0</v>
      </c>
      <c r="H90">
        <v>0</v>
      </c>
      <c r="I90">
        <v>3.5</v>
      </c>
      <c r="J90">
        <v>0</v>
      </c>
      <c r="K90">
        <v>0</v>
      </c>
      <c r="L90">
        <v>0</v>
      </c>
      <c r="M90">
        <v>248</v>
      </c>
      <c r="N90">
        <v>621</v>
      </c>
      <c r="O90">
        <v>1538</v>
      </c>
      <c r="P90" s="3" cm="1">
        <f t="array" ref="P90">_xlfn.XLOOKUP(A90&amp;B90,'[1]Daily Sleep'!$A$2:$A$468&amp;'[1]Daily Sleep'!$B$2:$B$468,'[1]Daily Sleep'!$D$2:$D$468,"")</f>
        <v>8.85</v>
      </c>
      <c r="Q90" t="str">
        <f t="shared" si="2"/>
        <v>Tuesday</v>
      </c>
      <c r="R90" t="str">
        <f t="shared" si="3"/>
        <v>Weekday</v>
      </c>
    </row>
    <row r="91" spans="1:20" x14ac:dyDescent="0.35">
      <c r="A91">
        <v>2026352035</v>
      </c>
      <c r="B91" s="1">
        <v>42466</v>
      </c>
      <c r="C91">
        <v>3180</v>
      </c>
      <c r="D91">
        <v>1.9700000286102299</v>
      </c>
      <c r="E91">
        <v>1.9700000286102299</v>
      </c>
      <c r="F91">
        <v>0</v>
      </c>
      <c r="G91">
        <v>0</v>
      </c>
      <c r="H91">
        <v>0</v>
      </c>
      <c r="I91">
        <v>1.9700000286102299</v>
      </c>
      <c r="J91">
        <v>0</v>
      </c>
      <c r="K91">
        <v>0</v>
      </c>
      <c r="L91">
        <v>0</v>
      </c>
      <c r="M91">
        <v>185</v>
      </c>
      <c r="N91">
        <v>738</v>
      </c>
      <c r="O91">
        <v>1421</v>
      </c>
      <c r="P91" s="3" cm="1">
        <f t="array" ref="P91">_xlfn.XLOOKUP(A91&amp;B91,'[1]Daily Sleep'!$A$2:$A$468&amp;'[1]Daily Sleep'!$B$2:$B$468,'[1]Daily Sleep'!$D$2:$D$468,"")</f>
        <v>7.75</v>
      </c>
      <c r="Q91" t="str">
        <f t="shared" si="2"/>
        <v>Wednesday</v>
      </c>
      <c r="R91" t="str">
        <f t="shared" si="3"/>
        <v>Weekday</v>
      </c>
    </row>
    <row r="92" spans="1:20" x14ac:dyDescent="0.35">
      <c r="A92">
        <v>2026352035</v>
      </c>
      <c r="B92" s="1">
        <v>42467</v>
      </c>
      <c r="C92">
        <v>2767</v>
      </c>
      <c r="D92">
        <v>1.7200000286102299</v>
      </c>
      <c r="E92">
        <v>1.7200000286102299</v>
      </c>
      <c r="F92">
        <v>0</v>
      </c>
      <c r="G92">
        <v>0</v>
      </c>
      <c r="H92">
        <v>0</v>
      </c>
      <c r="I92">
        <v>1.7200000286102299</v>
      </c>
      <c r="J92">
        <v>0</v>
      </c>
      <c r="K92">
        <v>0</v>
      </c>
      <c r="L92">
        <v>0</v>
      </c>
      <c r="M92">
        <v>170</v>
      </c>
      <c r="N92">
        <v>673</v>
      </c>
      <c r="O92">
        <v>1392</v>
      </c>
      <c r="P92" s="3" cm="1">
        <f t="array" ref="P92">_xlfn.XLOOKUP(A92&amp;B92,'[1]Daily Sleep'!$A$2:$A$468&amp;'[1]Daily Sleep'!$B$2:$B$468,'[1]Daily Sleep'!$D$2:$D$468,"")</f>
        <v>9</v>
      </c>
      <c r="Q92" t="str">
        <f t="shared" si="2"/>
        <v>Thursday</v>
      </c>
      <c r="R92" t="str">
        <f t="shared" si="3"/>
        <v>Weekend</v>
      </c>
    </row>
    <row r="93" spans="1:20" x14ac:dyDescent="0.35">
      <c r="A93">
        <v>2026352035</v>
      </c>
      <c r="B93" s="1">
        <v>42468</v>
      </c>
      <c r="C93">
        <v>3762</v>
      </c>
      <c r="D93">
        <v>2.3299999237060498</v>
      </c>
      <c r="E93">
        <v>2.3299999237060498</v>
      </c>
      <c r="F93">
        <v>0</v>
      </c>
      <c r="G93">
        <v>0</v>
      </c>
      <c r="H93">
        <v>0</v>
      </c>
      <c r="I93">
        <v>2.3299999237060498</v>
      </c>
      <c r="J93">
        <v>0</v>
      </c>
      <c r="K93">
        <v>0</v>
      </c>
      <c r="L93">
        <v>0</v>
      </c>
      <c r="M93">
        <v>173</v>
      </c>
      <c r="N93">
        <v>719</v>
      </c>
      <c r="O93">
        <v>1425</v>
      </c>
      <c r="P93" s="3" cm="1">
        <f t="array" ref="P93">_xlfn.XLOOKUP(A93&amp;B93,'[1]Daily Sleep'!$A$2:$A$468&amp;'[1]Daily Sleep'!$B$2:$B$468,'[1]Daily Sleep'!$D$2:$D$468,"")</f>
        <v>8.6833333333333336</v>
      </c>
      <c r="Q93" t="str">
        <f t="shared" si="2"/>
        <v>Friday</v>
      </c>
      <c r="R93" t="str">
        <f t="shared" si="3"/>
        <v>Weekend</v>
      </c>
    </row>
    <row r="94" spans="1:20" x14ac:dyDescent="0.35">
      <c r="A94">
        <v>2026352035</v>
      </c>
      <c r="B94" s="1">
        <v>42469</v>
      </c>
      <c r="C94">
        <v>3098</v>
      </c>
      <c r="D94">
        <v>1.91999995708466</v>
      </c>
      <c r="E94">
        <v>1.91999995708466</v>
      </c>
      <c r="F94">
        <v>0</v>
      </c>
      <c r="G94">
        <v>0</v>
      </c>
      <c r="H94">
        <v>0</v>
      </c>
      <c r="I94">
        <v>1.91999995708466</v>
      </c>
      <c r="J94">
        <v>0</v>
      </c>
      <c r="K94">
        <v>0</v>
      </c>
      <c r="L94">
        <v>0</v>
      </c>
      <c r="M94">
        <v>185</v>
      </c>
      <c r="N94">
        <v>700</v>
      </c>
      <c r="O94">
        <v>1413</v>
      </c>
      <c r="P94" s="3" cm="1">
        <f t="array" ref="P94">_xlfn.XLOOKUP(A94&amp;B94,'[1]Daily Sleep'!$A$2:$A$468&amp;'[1]Daily Sleep'!$B$2:$B$468,'[1]Daily Sleep'!$D$2:$D$468,"")</f>
        <v>8.1666666666666661</v>
      </c>
      <c r="Q94" t="str">
        <f t="shared" si="2"/>
        <v>Saturday</v>
      </c>
      <c r="R94" t="str">
        <f t="shared" si="3"/>
        <v>Weekday</v>
      </c>
    </row>
    <row r="95" spans="1:20" x14ac:dyDescent="0.35">
      <c r="A95">
        <v>2026352035</v>
      </c>
      <c r="B95" s="1">
        <v>42470</v>
      </c>
      <c r="C95">
        <v>5142</v>
      </c>
      <c r="D95">
        <v>3.1900000572204599</v>
      </c>
      <c r="E95">
        <v>3.1900000572204599</v>
      </c>
      <c r="F95">
        <v>0</v>
      </c>
      <c r="G95">
        <v>0</v>
      </c>
      <c r="H95">
        <v>0</v>
      </c>
      <c r="I95">
        <v>3.1900000572204599</v>
      </c>
      <c r="J95">
        <v>0</v>
      </c>
      <c r="K95">
        <v>0</v>
      </c>
      <c r="L95">
        <v>0</v>
      </c>
      <c r="M95">
        <v>230</v>
      </c>
      <c r="N95">
        <v>654</v>
      </c>
      <c r="O95">
        <v>1515</v>
      </c>
      <c r="P95" s="3" cm="1">
        <f t="array" ref="P95">_xlfn.XLOOKUP(A95&amp;B95,'[1]Daily Sleep'!$A$2:$A$468&amp;'[1]Daily Sleep'!$B$2:$B$468,'[1]Daily Sleep'!$D$2:$D$468,"")</f>
        <v>8.4</v>
      </c>
      <c r="Q95" t="str">
        <f t="shared" si="2"/>
        <v>Sunday</v>
      </c>
      <c r="R95" t="str">
        <f t="shared" si="3"/>
        <v>Weekday</v>
      </c>
    </row>
    <row r="96" spans="1:20" x14ac:dyDescent="0.35">
      <c r="A96">
        <v>2026352035</v>
      </c>
      <c r="B96" s="1">
        <v>42471</v>
      </c>
      <c r="C96">
        <v>3279</v>
      </c>
      <c r="D96">
        <v>2.0299999713897701</v>
      </c>
      <c r="E96">
        <v>2.0299999713897701</v>
      </c>
      <c r="F96">
        <v>0</v>
      </c>
      <c r="G96">
        <v>0</v>
      </c>
      <c r="H96">
        <v>0</v>
      </c>
      <c r="I96">
        <v>2.0299999713897701</v>
      </c>
      <c r="J96">
        <v>0</v>
      </c>
      <c r="K96">
        <v>0</v>
      </c>
      <c r="L96">
        <v>0</v>
      </c>
      <c r="M96">
        <v>164</v>
      </c>
      <c r="N96">
        <v>694</v>
      </c>
      <c r="O96">
        <v>1405</v>
      </c>
      <c r="P96" s="3" cm="1">
        <f t="array" ref="P96">_xlfn.XLOOKUP(A96&amp;B96,'[1]Daily Sleep'!$A$2:$A$468&amp;'[1]Daily Sleep'!$B$2:$B$468,'[1]Daily Sleep'!$D$2:$D$468,"")</f>
        <v>9.0166666666666675</v>
      </c>
      <c r="Q96" t="str">
        <f t="shared" si="2"/>
        <v>Monday</v>
      </c>
      <c r="R96" t="str">
        <f t="shared" si="3"/>
        <v>Weekday</v>
      </c>
    </row>
    <row r="97" spans="1:18" x14ac:dyDescent="0.35">
      <c r="A97">
        <v>2026352035</v>
      </c>
      <c r="B97" s="1">
        <v>42472</v>
      </c>
      <c r="C97">
        <v>1019</v>
      </c>
      <c r="D97">
        <v>0.62999999523162797</v>
      </c>
      <c r="E97">
        <v>0.62999999523162797</v>
      </c>
      <c r="F97">
        <v>0</v>
      </c>
      <c r="G97">
        <v>0</v>
      </c>
      <c r="H97">
        <v>0</v>
      </c>
      <c r="I97">
        <v>0.62999999523162797</v>
      </c>
      <c r="J97">
        <v>0</v>
      </c>
      <c r="K97">
        <v>0</v>
      </c>
      <c r="L97">
        <v>0</v>
      </c>
      <c r="M97">
        <v>64</v>
      </c>
      <c r="N97">
        <v>223</v>
      </c>
      <c r="O97">
        <v>600</v>
      </c>
      <c r="P97" s="3" cm="1">
        <f t="array" ref="P97">_xlfn.XLOOKUP(A97&amp;B97,'[1]Daily Sleep'!$A$2:$A$468&amp;'[1]Daily Sleep'!$B$2:$B$468,'[1]Daily Sleep'!$D$2:$D$468,"")</f>
        <v>5.6833333333333336</v>
      </c>
      <c r="Q97" t="str">
        <f t="shared" si="2"/>
        <v>Tuesday</v>
      </c>
      <c r="R97" t="str">
        <f t="shared" si="3"/>
        <v>Weekend</v>
      </c>
    </row>
    <row r="98" spans="1:18" x14ac:dyDescent="0.35">
      <c r="A98">
        <v>2320127002</v>
      </c>
      <c r="B98" s="1">
        <v>42461</v>
      </c>
      <c r="C98">
        <v>0</v>
      </c>
      <c r="D98">
        <v>0</v>
      </c>
      <c r="E98">
        <v>0</v>
      </c>
      <c r="F98">
        <v>0</v>
      </c>
      <c r="G98">
        <v>0</v>
      </c>
      <c r="H98">
        <v>0</v>
      </c>
      <c r="I98">
        <v>0</v>
      </c>
      <c r="J98">
        <v>0</v>
      </c>
      <c r="K98">
        <v>0</v>
      </c>
      <c r="L98">
        <v>0</v>
      </c>
      <c r="M98">
        <v>0</v>
      </c>
      <c r="N98">
        <v>1440</v>
      </c>
      <c r="O98">
        <v>1324</v>
      </c>
      <c r="P98" s="3" t="str" cm="1">
        <f t="array" ref="P98">_xlfn.XLOOKUP(A98&amp;B98,'[1]Daily Sleep'!$A$2:$A$468&amp;'[1]Daily Sleep'!$B$2:$B$468,'[1]Daily Sleep'!$D$2:$D$468,"")</f>
        <v/>
      </c>
      <c r="Q98" t="str">
        <f t="shared" si="2"/>
        <v>Friday</v>
      </c>
      <c r="R98" t="str">
        <f t="shared" si="3"/>
        <v>Weekend</v>
      </c>
    </row>
    <row r="99" spans="1:18" x14ac:dyDescent="0.35">
      <c r="A99">
        <v>2320127002</v>
      </c>
      <c r="B99" s="1">
        <v>42462</v>
      </c>
      <c r="C99">
        <v>0</v>
      </c>
      <c r="D99">
        <v>0</v>
      </c>
      <c r="E99">
        <v>0</v>
      </c>
      <c r="F99">
        <v>0</v>
      </c>
      <c r="G99">
        <v>0</v>
      </c>
      <c r="H99">
        <v>0</v>
      </c>
      <c r="I99">
        <v>0</v>
      </c>
      <c r="J99">
        <v>0</v>
      </c>
      <c r="K99">
        <v>0</v>
      </c>
      <c r="L99">
        <v>0</v>
      </c>
      <c r="M99">
        <v>0</v>
      </c>
      <c r="N99">
        <v>1440</v>
      </c>
      <c r="O99">
        <v>1324</v>
      </c>
      <c r="P99" s="3" t="str" cm="1">
        <f t="array" ref="P99">_xlfn.XLOOKUP(A99&amp;B99,'[1]Daily Sleep'!$A$2:$A$468&amp;'[1]Daily Sleep'!$B$2:$B$468,'[1]Daily Sleep'!$D$2:$D$468,"")</f>
        <v/>
      </c>
      <c r="Q99" t="str">
        <f t="shared" si="2"/>
        <v>Saturday</v>
      </c>
      <c r="R99" t="str">
        <f t="shared" si="3"/>
        <v>Weekday</v>
      </c>
    </row>
    <row r="100" spans="1:18" x14ac:dyDescent="0.35">
      <c r="A100">
        <v>2320127002</v>
      </c>
      <c r="B100" s="1">
        <v>42463</v>
      </c>
      <c r="C100">
        <v>0</v>
      </c>
      <c r="D100">
        <v>0</v>
      </c>
      <c r="E100">
        <v>0</v>
      </c>
      <c r="F100">
        <v>0</v>
      </c>
      <c r="G100">
        <v>0</v>
      </c>
      <c r="H100">
        <v>0</v>
      </c>
      <c r="I100">
        <v>0</v>
      </c>
      <c r="J100">
        <v>0</v>
      </c>
      <c r="K100">
        <v>0</v>
      </c>
      <c r="L100">
        <v>0</v>
      </c>
      <c r="M100">
        <v>0</v>
      </c>
      <c r="N100">
        <v>1440</v>
      </c>
      <c r="O100">
        <v>1324</v>
      </c>
      <c r="P100" s="3" t="str" cm="1">
        <f t="array" ref="P100">_xlfn.XLOOKUP(A100&amp;B100,'[1]Daily Sleep'!$A$2:$A$468&amp;'[1]Daily Sleep'!$B$2:$B$468,'[1]Daily Sleep'!$D$2:$D$468,"")</f>
        <v/>
      </c>
      <c r="Q100" t="str">
        <f t="shared" si="2"/>
        <v>Sunday</v>
      </c>
      <c r="R100" t="str">
        <f t="shared" si="3"/>
        <v>Weekday</v>
      </c>
    </row>
    <row r="101" spans="1:18" x14ac:dyDescent="0.35">
      <c r="A101">
        <v>2320127002</v>
      </c>
      <c r="B101" s="1">
        <v>42464</v>
      </c>
      <c r="C101">
        <v>0</v>
      </c>
      <c r="D101">
        <v>0</v>
      </c>
      <c r="E101">
        <v>0</v>
      </c>
      <c r="F101">
        <v>0</v>
      </c>
      <c r="G101">
        <v>0</v>
      </c>
      <c r="H101">
        <v>0</v>
      </c>
      <c r="I101">
        <v>0</v>
      </c>
      <c r="J101">
        <v>0</v>
      </c>
      <c r="K101">
        <v>0</v>
      </c>
      <c r="L101">
        <v>0</v>
      </c>
      <c r="M101">
        <v>0</v>
      </c>
      <c r="N101">
        <v>1440</v>
      </c>
      <c r="O101">
        <v>1324</v>
      </c>
      <c r="P101" s="3" t="str" cm="1">
        <f t="array" ref="P101">_xlfn.XLOOKUP(A101&amp;B101,'[1]Daily Sleep'!$A$2:$A$468&amp;'[1]Daily Sleep'!$B$2:$B$468,'[1]Daily Sleep'!$D$2:$D$468,"")</f>
        <v/>
      </c>
      <c r="Q101" t="str">
        <f t="shared" si="2"/>
        <v>Monday</v>
      </c>
      <c r="R101" t="str">
        <f t="shared" si="3"/>
        <v>Weekday</v>
      </c>
    </row>
    <row r="102" spans="1:18" x14ac:dyDescent="0.35">
      <c r="A102">
        <v>2320127002</v>
      </c>
      <c r="B102" s="1">
        <v>42465</v>
      </c>
      <c r="C102">
        <v>4931</v>
      </c>
      <c r="D102">
        <v>3.3199999332428001</v>
      </c>
      <c r="E102">
        <v>3.3199999332428001</v>
      </c>
      <c r="F102">
        <v>0</v>
      </c>
      <c r="G102">
        <v>0</v>
      </c>
      <c r="H102">
        <v>0</v>
      </c>
      <c r="I102">
        <v>3.3199999332428001</v>
      </c>
      <c r="J102">
        <v>0</v>
      </c>
      <c r="K102">
        <v>0</v>
      </c>
      <c r="L102">
        <v>0</v>
      </c>
      <c r="M102">
        <v>175</v>
      </c>
      <c r="N102">
        <v>1265</v>
      </c>
      <c r="O102">
        <v>1708</v>
      </c>
      <c r="P102" s="3" t="str" cm="1">
        <f t="array" ref="P102">_xlfn.XLOOKUP(A102&amp;B102,'[1]Daily Sleep'!$A$2:$A$468&amp;'[1]Daily Sleep'!$B$2:$B$468,'[1]Daily Sleep'!$D$2:$D$468,"")</f>
        <v/>
      </c>
      <c r="Q102" t="str">
        <f t="shared" si="2"/>
        <v>Tuesday</v>
      </c>
      <c r="R102" t="str">
        <f t="shared" si="3"/>
        <v>Weekday</v>
      </c>
    </row>
    <row r="103" spans="1:18" x14ac:dyDescent="0.35">
      <c r="A103">
        <v>2320127002</v>
      </c>
      <c r="B103" s="1">
        <v>42466</v>
      </c>
      <c r="C103">
        <v>6999</v>
      </c>
      <c r="D103">
        <v>4.7199997901916504</v>
      </c>
      <c r="E103">
        <v>4.7199997901916504</v>
      </c>
      <c r="F103">
        <v>0</v>
      </c>
      <c r="G103">
        <v>0</v>
      </c>
      <c r="H103">
        <v>0</v>
      </c>
      <c r="I103">
        <v>4.7199997901916504</v>
      </c>
      <c r="J103">
        <v>0</v>
      </c>
      <c r="K103">
        <v>0</v>
      </c>
      <c r="L103">
        <v>0</v>
      </c>
      <c r="M103">
        <v>320</v>
      </c>
      <c r="N103">
        <v>1120</v>
      </c>
      <c r="O103">
        <v>1950</v>
      </c>
      <c r="P103" s="3" t="str" cm="1">
        <f t="array" ref="P103">_xlfn.XLOOKUP(A103&amp;B103,'[1]Daily Sleep'!$A$2:$A$468&amp;'[1]Daily Sleep'!$B$2:$B$468,'[1]Daily Sleep'!$D$2:$D$468,"")</f>
        <v/>
      </c>
      <c r="Q103" t="str">
        <f t="shared" si="2"/>
        <v>Wednesday</v>
      </c>
      <c r="R103" t="str">
        <f t="shared" si="3"/>
        <v>Weekday</v>
      </c>
    </row>
    <row r="104" spans="1:18" x14ac:dyDescent="0.35">
      <c r="A104">
        <v>2320127002</v>
      </c>
      <c r="B104" s="1">
        <v>42467</v>
      </c>
      <c r="C104">
        <v>1846</v>
      </c>
      <c r="D104">
        <v>1.2400000095367401</v>
      </c>
      <c r="E104">
        <v>1.2400000095367401</v>
      </c>
      <c r="F104">
        <v>0</v>
      </c>
      <c r="G104">
        <v>0</v>
      </c>
      <c r="H104">
        <v>0</v>
      </c>
      <c r="I104">
        <v>1.2400000095367401</v>
      </c>
      <c r="J104">
        <v>0</v>
      </c>
      <c r="K104">
        <v>0</v>
      </c>
      <c r="L104">
        <v>0</v>
      </c>
      <c r="M104">
        <v>93</v>
      </c>
      <c r="N104">
        <v>1347</v>
      </c>
      <c r="O104">
        <v>1508</v>
      </c>
      <c r="P104" s="3" t="str" cm="1">
        <f t="array" ref="P104">_xlfn.XLOOKUP(A104&amp;B104,'[1]Daily Sleep'!$A$2:$A$468&amp;'[1]Daily Sleep'!$B$2:$B$468,'[1]Daily Sleep'!$D$2:$D$468,"")</f>
        <v/>
      </c>
      <c r="Q104" t="str">
        <f t="shared" si="2"/>
        <v>Thursday</v>
      </c>
      <c r="R104" t="str">
        <f t="shared" si="3"/>
        <v>Weekend</v>
      </c>
    </row>
    <row r="105" spans="1:18" x14ac:dyDescent="0.35">
      <c r="A105">
        <v>2320127002</v>
      </c>
      <c r="B105" s="1">
        <v>42468</v>
      </c>
      <c r="C105">
        <v>3417</v>
      </c>
      <c r="D105">
        <v>2.2999999523162802</v>
      </c>
      <c r="E105">
        <v>2.2999999523162802</v>
      </c>
      <c r="F105">
        <v>0</v>
      </c>
      <c r="G105">
        <v>0</v>
      </c>
      <c r="H105">
        <v>0</v>
      </c>
      <c r="I105">
        <v>2.2999999523162802</v>
      </c>
      <c r="J105">
        <v>0</v>
      </c>
      <c r="K105">
        <v>0</v>
      </c>
      <c r="L105">
        <v>0</v>
      </c>
      <c r="M105">
        <v>153</v>
      </c>
      <c r="N105">
        <v>1287</v>
      </c>
      <c r="O105">
        <v>1625</v>
      </c>
      <c r="P105" s="3" t="str" cm="1">
        <f t="array" ref="P105">_xlfn.XLOOKUP(A105&amp;B105,'[1]Daily Sleep'!$A$2:$A$468&amp;'[1]Daily Sleep'!$B$2:$B$468,'[1]Daily Sleep'!$D$2:$D$468,"")</f>
        <v/>
      </c>
      <c r="Q105" t="str">
        <f t="shared" si="2"/>
        <v>Friday</v>
      </c>
      <c r="R105" t="str">
        <f t="shared" si="3"/>
        <v>Weekend</v>
      </c>
    </row>
    <row r="106" spans="1:18" x14ac:dyDescent="0.35">
      <c r="A106">
        <v>2320127002</v>
      </c>
      <c r="B106" s="1">
        <v>42469</v>
      </c>
      <c r="C106">
        <v>4863</v>
      </c>
      <c r="D106">
        <v>3.2799999713897701</v>
      </c>
      <c r="E106">
        <v>3.2799999713897701</v>
      </c>
      <c r="F106">
        <v>0</v>
      </c>
      <c r="G106">
        <v>5.9999998658895499E-2</v>
      </c>
      <c r="H106">
        <v>0.41999998688697798</v>
      </c>
      <c r="I106">
        <v>2.7999999523162802</v>
      </c>
      <c r="J106">
        <v>0</v>
      </c>
      <c r="K106">
        <v>1</v>
      </c>
      <c r="L106">
        <v>11</v>
      </c>
      <c r="M106">
        <v>208</v>
      </c>
      <c r="N106">
        <v>1220</v>
      </c>
      <c r="O106">
        <v>1772</v>
      </c>
      <c r="P106" s="3" t="str" cm="1">
        <f t="array" ref="P106">_xlfn.XLOOKUP(A106&amp;B106,'[1]Daily Sleep'!$A$2:$A$468&amp;'[1]Daily Sleep'!$B$2:$B$468,'[1]Daily Sleep'!$D$2:$D$468,"")</f>
        <v/>
      </c>
      <c r="Q106" t="str">
        <f t="shared" si="2"/>
        <v>Saturday</v>
      </c>
      <c r="R106" t="str">
        <f t="shared" si="3"/>
        <v>Weekday</v>
      </c>
    </row>
    <row r="107" spans="1:18" x14ac:dyDescent="0.35">
      <c r="A107">
        <v>2320127002</v>
      </c>
      <c r="B107" s="1">
        <v>42470</v>
      </c>
      <c r="C107">
        <v>2277</v>
      </c>
      <c r="D107">
        <v>1.5299999713897701</v>
      </c>
      <c r="E107">
        <v>1.5299999713897701</v>
      </c>
      <c r="F107">
        <v>0</v>
      </c>
      <c r="G107">
        <v>0</v>
      </c>
      <c r="H107">
        <v>0</v>
      </c>
      <c r="I107">
        <v>1.5299999713897701</v>
      </c>
      <c r="J107">
        <v>0</v>
      </c>
      <c r="K107">
        <v>0</v>
      </c>
      <c r="L107">
        <v>0</v>
      </c>
      <c r="M107">
        <v>103</v>
      </c>
      <c r="N107">
        <v>1337</v>
      </c>
      <c r="O107">
        <v>1530</v>
      </c>
      <c r="P107" s="3" t="str" cm="1">
        <f t="array" ref="P107">_xlfn.XLOOKUP(A107&amp;B107,'[1]Daily Sleep'!$A$2:$A$468&amp;'[1]Daily Sleep'!$B$2:$B$468,'[1]Daily Sleep'!$D$2:$D$468,"")</f>
        <v/>
      </c>
      <c r="Q107" t="str">
        <f t="shared" si="2"/>
        <v>Sunday</v>
      </c>
      <c r="R107" t="str">
        <f t="shared" si="3"/>
        <v>Weekday</v>
      </c>
    </row>
    <row r="108" spans="1:18" x14ac:dyDescent="0.35">
      <c r="A108">
        <v>2320127002</v>
      </c>
      <c r="B108" s="1">
        <v>42471</v>
      </c>
      <c r="C108">
        <v>11230</v>
      </c>
      <c r="D108">
        <v>7.6700000762939498</v>
      </c>
      <c r="E108">
        <v>7.6700000762939498</v>
      </c>
      <c r="F108">
        <v>0</v>
      </c>
      <c r="G108">
        <v>0.88999998569488503</v>
      </c>
      <c r="H108">
        <v>0.119999997317791</v>
      </c>
      <c r="I108">
        <v>6.6599998474121103</v>
      </c>
      <c r="J108">
        <v>0</v>
      </c>
      <c r="K108">
        <v>10</v>
      </c>
      <c r="L108">
        <v>2</v>
      </c>
      <c r="M108">
        <v>390</v>
      </c>
      <c r="N108">
        <v>1038</v>
      </c>
      <c r="O108">
        <v>2206</v>
      </c>
      <c r="P108" s="3" t="str" cm="1">
        <f t="array" ref="P108">_xlfn.XLOOKUP(A108&amp;B108,'[1]Daily Sleep'!$A$2:$A$468&amp;'[1]Daily Sleep'!$B$2:$B$468,'[1]Daily Sleep'!$D$2:$D$468,"")</f>
        <v/>
      </c>
      <c r="Q108" t="str">
        <f t="shared" si="2"/>
        <v>Monday</v>
      </c>
      <c r="R108" t="str">
        <f t="shared" si="3"/>
        <v>Weekday</v>
      </c>
    </row>
    <row r="109" spans="1:18" x14ac:dyDescent="0.35">
      <c r="A109">
        <v>2320127002</v>
      </c>
      <c r="B109" s="1">
        <v>42472</v>
      </c>
      <c r="C109">
        <v>2098</v>
      </c>
      <c r="D109">
        <v>1.4099999666214</v>
      </c>
      <c r="E109">
        <v>1.4099999666214</v>
      </c>
      <c r="F109">
        <v>0</v>
      </c>
      <c r="G109">
        <v>0</v>
      </c>
      <c r="H109">
        <v>0</v>
      </c>
      <c r="I109">
        <v>1.4099999666214</v>
      </c>
      <c r="J109">
        <v>0</v>
      </c>
      <c r="K109">
        <v>0</v>
      </c>
      <c r="L109">
        <v>0</v>
      </c>
      <c r="M109">
        <v>69</v>
      </c>
      <c r="N109">
        <v>617</v>
      </c>
      <c r="O109">
        <v>790</v>
      </c>
      <c r="P109" s="3" t="str" cm="1">
        <f t="array" ref="P109">_xlfn.XLOOKUP(A109&amp;B109,'[1]Daily Sleep'!$A$2:$A$468&amp;'[1]Daily Sleep'!$B$2:$B$468,'[1]Daily Sleep'!$D$2:$D$468,"")</f>
        <v/>
      </c>
      <c r="Q109" t="str">
        <f t="shared" si="2"/>
        <v>Tuesday</v>
      </c>
      <c r="R109" t="str">
        <f t="shared" si="3"/>
        <v>Weekday</v>
      </c>
    </row>
    <row r="110" spans="1:18" x14ac:dyDescent="0.35">
      <c r="A110">
        <v>2347167796</v>
      </c>
      <c r="B110" s="1">
        <v>42458</v>
      </c>
      <c r="C110">
        <v>10272</v>
      </c>
      <c r="D110">
        <v>6.78999996185303</v>
      </c>
      <c r="E110">
        <v>6.78999996185303</v>
      </c>
      <c r="F110">
        <v>0</v>
      </c>
      <c r="G110">
        <v>0.15999999642372101</v>
      </c>
      <c r="H110">
        <v>3.1199998855590798</v>
      </c>
      <c r="I110">
        <v>3.5</v>
      </c>
      <c r="J110">
        <v>0</v>
      </c>
      <c r="K110">
        <v>2</v>
      </c>
      <c r="L110">
        <v>58</v>
      </c>
      <c r="M110">
        <v>208</v>
      </c>
      <c r="N110">
        <v>700</v>
      </c>
      <c r="O110">
        <v>2041</v>
      </c>
      <c r="P110" s="3" cm="1">
        <f t="array" ref="P110">_xlfn.XLOOKUP(A110&amp;B110,'[1]Daily Sleep'!$A$2:$A$468&amp;'[1]Daily Sleep'!$B$2:$B$468,'[1]Daily Sleep'!$D$2:$D$468,"")</f>
        <v>7.0333333333333332</v>
      </c>
      <c r="Q110" t="str">
        <f t="shared" si="2"/>
        <v>Tuesday</v>
      </c>
      <c r="R110" t="str">
        <f t="shared" si="3"/>
        <v>Weekday</v>
      </c>
    </row>
    <row r="111" spans="1:18" x14ac:dyDescent="0.35">
      <c r="A111">
        <v>2347167796</v>
      </c>
      <c r="B111" s="1">
        <v>42459</v>
      </c>
      <c r="C111">
        <v>10533</v>
      </c>
      <c r="D111">
        <v>7.0999999046325701</v>
      </c>
      <c r="E111">
        <v>7.0999999046325701</v>
      </c>
      <c r="F111">
        <v>0</v>
      </c>
      <c r="G111">
        <v>1.7699999809265099</v>
      </c>
      <c r="H111">
        <v>2.0599999427795401</v>
      </c>
      <c r="I111">
        <v>3.2699999809265101</v>
      </c>
      <c r="J111">
        <v>0</v>
      </c>
      <c r="K111">
        <v>21</v>
      </c>
      <c r="L111">
        <v>35</v>
      </c>
      <c r="M111">
        <v>255</v>
      </c>
      <c r="N111">
        <v>615</v>
      </c>
      <c r="O111">
        <v>2187</v>
      </c>
      <c r="P111" s="3" cm="1">
        <f t="array" ref="P111">_xlfn.XLOOKUP(A111&amp;B111,'[1]Daily Sleep'!$A$2:$A$468&amp;'[1]Daily Sleep'!$B$2:$B$468,'[1]Daily Sleep'!$D$2:$D$468,"")</f>
        <v>7.8666666666666663</v>
      </c>
      <c r="Q111" t="str">
        <f t="shared" si="2"/>
        <v>Wednesday</v>
      </c>
      <c r="R111" t="str">
        <f t="shared" si="3"/>
        <v>Weekday</v>
      </c>
    </row>
    <row r="112" spans="1:18" x14ac:dyDescent="0.35">
      <c r="A112">
        <v>2347167796</v>
      </c>
      <c r="B112" s="1">
        <v>42460</v>
      </c>
      <c r="C112">
        <v>6760</v>
      </c>
      <c r="D112">
        <v>4.4699997901916504</v>
      </c>
      <c r="E112">
        <v>4.4699997901916504</v>
      </c>
      <c r="F112">
        <v>0</v>
      </c>
      <c r="G112">
        <v>0</v>
      </c>
      <c r="H112">
        <v>0</v>
      </c>
      <c r="I112">
        <v>4.4699997901916504</v>
      </c>
      <c r="J112">
        <v>0</v>
      </c>
      <c r="K112">
        <v>0</v>
      </c>
      <c r="L112">
        <v>0</v>
      </c>
      <c r="M112">
        <v>250</v>
      </c>
      <c r="N112">
        <v>613</v>
      </c>
      <c r="O112">
        <v>1929</v>
      </c>
      <c r="P112" s="3" cm="1">
        <f t="array" ref="P112">_xlfn.XLOOKUP(A112&amp;B112,'[1]Daily Sleep'!$A$2:$A$468&amp;'[1]Daily Sleep'!$B$2:$B$468,'[1]Daily Sleep'!$D$2:$D$468,"")</f>
        <v>8.6166666666666671</v>
      </c>
      <c r="Q112" t="str">
        <f t="shared" si="2"/>
        <v>Thursday</v>
      </c>
      <c r="R112" t="str">
        <f t="shared" si="3"/>
        <v>Weekend</v>
      </c>
    </row>
    <row r="113" spans="1:18" x14ac:dyDescent="0.35">
      <c r="A113">
        <v>2347167796</v>
      </c>
      <c r="B113" s="1">
        <v>42461</v>
      </c>
      <c r="C113">
        <v>8328</v>
      </c>
      <c r="D113">
        <v>5.5100002288818404</v>
      </c>
      <c r="E113">
        <v>5.5100002288818404</v>
      </c>
      <c r="F113">
        <v>0</v>
      </c>
      <c r="G113">
        <v>0</v>
      </c>
      <c r="H113">
        <v>2</v>
      </c>
      <c r="I113">
        <v>3.5</v>
      </c>
      <c r="J113">
        <v>0</v>
      </c>
      <c r="K113">
        <v>0</v>
      </c>
      <c r="L113">
        <v>33</v>
      </c>
      <c r="M113">
        <v>212</v>
      </c>
      <c r="N113">
        <v>804</v>
      </c>
      <c r="O113">
        <v>1935</v>
      </c>
      <c r="P113" s="3" cm="1">
        <f t="array" ref="P113">_xlfn.XLOOKUP(A113&amp;B113,'[1]Daily Sleep'!$A$2:$A$468&amp;'[1]Daily Sleep'!$B$2:$B$468,'[1]Daily Sleep'!$D$2:$D$468,"")</f>
        <v>6.2333333333333334</v>
      </c>
      <c r="Q113" t="str">
        <f t="shared" si="2"/>
        <v>Friday</v>
      </c>
      <c r="R113" t="str">
        <f t="shared" si="3"/>
        <v>Weekend</v>
      </c>
    </row>
    <row r="114" spans="1:18" x14ac:dyDescent="0.35">
      <c r="A114">
        <v>2347167796</v>
      </c>
      <c r="B114" s="1">
        <v>42462</v>
      </c>
      <c r="C114">
        <v>15459</v>
      </c>
      <c r="D114">
        <v>10.2200002670288</v>
      </c>
      <c r="E114">
        <v>10.2200002670288</v>
      </c>
      <c r="F114">
        <v>0</v>
      </c>
      <c r="G114">
        <v>3.5899999141693102</v>
      </c>
      <c r="H114">
        <v>0.81000000238418601</v>
      </c>
      <c r="I114">
        <v>5.8200001716613796</v>
      </c>
      <c r="J114">
        <v>0</v>
      </c>
      <c r="K114">
        <v>51</v>
      </c>
      <c r="L114">
        <v>16</v>
      </c>
      <c r="M114">
        <v>327</v>
      </c>
      <c r="N114">
        <v>583</v>
      </c>
      <c r="O114">
        <v>2438</v>
      </c>
      <c r="P114" s="3" cm="1">
        <f t="array" ref="P114">_xlfn.XLOOKUP(A114&amp;B114,'[1]Daily Sleep'!$A$2:$A$468&amp;'[1]Daily Sleep'!$B$2:$B$468,'[1]Daily Sleep'!$D$2:$D$468,"")</f>
        <v>6.95</v>
      </c>
      <c r="Q114" t="str">
        <f t="shared" si="2"/>
        <v>Saturday</v>
      </c>
      <c r="R114" t="str">
        <f t="shared" si="3"/>
        <v>Weekday</v>
      </c>
    </row>
    <row r="115" spans="1:18" x14ac:dyDescent="0.35">
      <c r="A115">
        <v>2347167796</v>
      </c>
      <c r="B115" s="1">
        <v>42463</v>
      </c>
      <c r="C115">
        <v>7485</v>
      </c>
      <c r="D115">
        <v>4.9499998092651403</v>
      </c>
      <c r="E115">
        <v>4.9499998092651403</v>
      </c>
      <c r="F115">
        <v>0</v>
      </c>
      <c r="G115">
        <v>0</v>
      </c>
      <c r="H115">
        <v>0</v>
      </c>
      <c r="I115">
        <v>4.9499998092651403</v>
      </c>
      <c r="J115">
        <v>0</v>
      </c>
      <c r="K115">
        <v>0</v>
      </c>
      <c r="L115">
        <v>0</v>
      </c>
      <c r="M115">
        <v>324</v>
      </c>
      <c r="N115">
        <v>491</v>
      </c>
      <c r="O115">
        <v>2035</v>
      </c>
      <c r="P115" s="3" cm="1">
        <f t="array" ref="P115">_xlfn.XLOOKUP(A115&amp;B115,'[1]Daily Sleep'!$A$2:$A$468&amp;'[1]Daily Sleep'!$B$2:$B$468,'[1]Daily Sleep'!$D$2:$D$468,"")</f>
        <v>9.65</v>
      </c>
      <c r="Q115" t="str">
        <f t="shared" si="2"/>
        <v>Sunday</v>
      </c>
      <c r="R115" t="str">
        <f t="shared" si="3"/>
        <v>Weekday</v>
      </c>
    </row>
    <row r="116" spans="1:18" x14ac:dyDescent="0.35">
      <c r="A116">
        <v>2347167796</v>
      </c>
      <c r="B116" s="1">
        <v>42464</v>
      </c>
      <c r="C116">
        <v>10254</v>
      </c>
      <c r="D116">
        <v>6.8000001907348597</v>
      </c>
      <c r="E116">
        <v>6.8000001907348597</v>
      </c>
      <c r="F116">
        <v>0</v>
      </c>
      <c r="G116">
        <v>1.41999995708466</v>
      </c>
      <c r="H116">
        <v>1.2300000190734901</v>
      </c>
      <c r="I116">
        <v>4.1599998474121103</v>
      </c>
      <c r="J116">
        <v>0</v>
      </c>
      <c r="K116">
        <v>21</v>
      </c>
      <c r="L116">
        <v>25</v>
      </c>
      <c r="M116">
        <v>231</v>
      </c>
      <c r="N116">
        <v>638</v>
      </c>
      <c r="O116">
        <v>2099</v>
      </c>
      <c r="P116" s="3" cm="1">
        <f t="array" ref="P116">_xlfn.XLOOKUP(A116&amp;B116,'[1]Daily Sleep'!$A$2:$A$468&amp;'[1]Daily Sleep'!$B$2:$B$468,'[1]Daily Sleep'!$D$2:$D$468,"")</f>
        <v>7.8666666666666663</v>
      </c>
      <c r="Q116" t="str">
        <f t="shared" si="2"/>
        <v>Monday</v>
      </c>
      <c r="R116" t="str">
        <f t="shared" si="3"/>
        <v>Weekday</v>
      </c>
    </row>
    <row r="117" spans="1:18" x14ac:dyDescent="0.35">
      <c r="A117">
        <v>2347167796</v>
      </c>
      <c r="B117" s="1">
        <v>42465</v>
      </c>
      <c r="C117">
        <v>10114</v>
      </c>
      <c r="D117">
        <v>6.8200001716613796</v>
      </c>
      <c r="E117">
        <v>6.8200001716613796</v>
      </c>
      <c r="F117">
        <v>0</v>
      </c>
      <c r="G117">
        <v>1.6399999856948899</v>
      </c>
      <c r="H117">
        <v>0.479999989271164</v>
      </c>
      <c r="I117">
        <v>4.6799998283386204</v>
      </c>
      <c r="J117">
        <v>0</v>
      </c>
      <c r="K117">
        <v>18</v>
      </c>
      <c r="L117">
        <v>9</v>
      </c>
      <c r="M117">
        <v>269</v>
      </c>
      <c r="N117">
        <v>696</v>
      </c>
      <c r="O117">
        <v>2096</v>
      </c>
      <c r="P117" s="3" cm="1">
        <f t="array" ref="P117">_xlfn.XLOOKUP(A117&amp;B117,'[1]Daily Sleep'!$A$2:$A$468&amp;'[1]Daily Sleep'!$B$2:$B$468,'[1]Daily Sleep'!$D$2:$D$468,"")</f>
        <v>6.583333333333333</v>
      </c>
      <c r="Q117" t="str">
        <f t="shared" si="2"/>
        <v>Tuesday</v>
      </c>
      <c r="R117" t="str">
        <f t="shared" si="3"/>
        <v>Weekday</v>
      </c>
    </row>
    <row r="118" spans="1:18" x14ac:dyDescent="0.35">
      <c r="A118">
        <v>2347167796</v>
      </c>
      <c r="B118" s="1">
        <v>42466</v>
      </c>
      <c r="C118">
        <v>11107</v>
      </c>
      <c r="D118">
        <v>7.3400001525878897</v>
      </c>
      <c r="E118">
        <v>7.3400001525878897</v>
      </c>
      <c r="F118">
        <v>0</v>
      </c>
      <c r="G118">
        <v>0.89999997615814198</v>
      </c>
      <c r="H118">
        <v>2.7599999904632599</v>
      </c>
      <c r="I118">
        <v>3.6800000667571999</v>
      </c>
      <c r="J118">
        <v>0</v>
      </c>
      <c r="K118">
        <v>14</v>
      </c>
      <c r="L118">
        <v>46</v>
      </c>
      <c r="M118">
        <v>196</v>
      </c>
      <c r="N118">
        <v>759</v>
      </c>
      <c r="O118">
        <v>2058</v>
      </c>
      <c r="P118" s="3" cm="1">
        <f t="array" ref="P118">_xlfn.XLOOKUP(A118&amp;B118,'[1]Daily Sleep'!$A$2:$A$468&amp;'[1]Daily Sleep'!$B$2:$B$468,'[1]Daily Sleep'!$D$2:$D$468,"")</f>
        <v>6.2</v>
      </c>
      <c r="Q118" t="str">
        <f t="shared" si="2"/>
        <v>Wednesday</v>
      </c>
      <c r="R118" t="str">
        <f t="shared" si="3"/>
        <v>Weekday</v>
      </c>
    </row>
    <row r="119" spans="1:18" x14ac:dyDescent="0.35">
      <c r="A119">
        <v>2347167796</v>
      </c>
      <c r="B119" s="1">
        <v>42467</v>
      </c>
      <c r="C119">
        <v>10320</v>
      </c>
      <c r="D119">
        <v>6.8499999046325701</v>
      </c>
      <c r="E119">
        <v>6.8499999046325701</v>
      </c>
      <c r="F119">
        <v>0</v>
      </c>
      <c r="G119">
        <v>0.68000000715255704</v>
      </c>
      <c r="H119">
        <v>1.2300000190734901</v>
      </c>
      <c r="I119">
        <v>4.9400000572204599</v>
      </c>
      <c r="J119">
        <v>0</v>
      </c>
      <c r="K119">
        <v>15</v>
      </c>
      <c r="L119">
        <v>32</v>
      </c>
      <c r="M119">
        <v>315</v>
      </c>
      <c r="N119">
        <v>1002</v>
      </c>
      <c r="O119">
        <v>2338</v>
      </c>
      <c r="P119" s="3" cm="1">
        <f t="array" ref="P119">_xlfn.XLOOKUP(A119&amp;B119,'[1]Daily Sleep'!$A$2:$A$468&amp;'[1]Daily Sleep'!$B$2:$B$468,'[1]Daily Sleep'!$D$2:$D$468,"")</f>
        <v>1.1666666666666667</v>
      </c>
      <c r="Q119" t="str">
        <f t="shared" si="2"/>
        <v>Thursday</v>
      </c>
      <c r="R119" t="str">
        <f t="shared" si="3"/>
        <v>Weekend</v>
      </c>
    </row>
    <row r="120" spans="1:18" x14ac:dyDescent="0.35">
      <c r="A120">
        <v>2347167796</v>
      </c>
      <c r="B120" s="1">
        <v>42468</v>
      </c>
      <c r="C120">
        <v>10209</v>
      </c>
      <c r="D120">
        <v>6.75</v>
      </c>
      <c r="E120">
        <v>6.75</v>
      </c>
      <c r="F120">
        <v>0</v>
      </c>
      <c r="G120">
        <v>0.15999999642372101</v>
      </c>
      <c r="H120">
        <v>0.34999999403953602</v>
      </c>
      <c r="I120">
        <v>6.2300000190734899</v>
      </c>
      <c r="J120">
        <v>0</v>
      </c>
      <c r="K120">
        <v>2</v>
      </c>
      <c r="L120">
        <v>6</v>
      </c>
      <c r="M120">
        <v>316</v>
      </c>
      <c r="N120">
        <v>711</v>
      </c>
      <c r="O120">
        <v>2104</v>
      </c>
      <c r="P120" s="3" cm="1">
        <f t="array" ref="P120">_xlfn.XLOOKUP(A120&amp;B120,'[1]Daily Sleep'!$A$2:$A$468&amp;'[1]Daily Sleep'!$B$2:$B$468,'[1]Daily Sleep'!$D$2:$D$468,"")</f>
        <v>6.333333333333333</v>
      </c>
      <c r="Q120" t="str">
        <f t="shared" si="2"/>
        <v>Friday</v>
      </c>
      <c r="R120" t="str">
        <f t="shared" si="3"/>
        <v>Weekend</v>
      </c>
    </row>
    <row r="121" spans="1:18" x14ac:dyDescent="0.35">
      <c r="A121">
        <v>2347167796</v>
      </c>
      <c r="B121" s="1">
        <v>42469</v>
      </c>
      <c r="C121">
        <v>16081</v>
      </c>
      <c r="D121">
        <v>10.6300001144409</v>
      </c>
      <c r="E121">
        <v>10.6300001144409</v>
      </c>
      <c r="F121">
        <v>0</v>
      </c>
      <c r="G121">
        <v>1.25</v>
      </c>
      <c r="H121">
        <v>1.8200000524520901</v>
      </c>
      <c r="I121">
        <v>7.5599999427795401</v>
      </c>
      <c r="J121">
        <v>0</v>
      </c>
      <c r="K121">
        <v>16</v>
      </c>
      <c r="L121">
        <v>32</v>
      </c>
      <c r="M121">
        <v>401</v>
      </c>
      <c r="N121">
        <v>970</v>
      </c>
      <c r="O121">
        <v>2488</v>
      </c>
      <c r="P121" s="3" cm="1">
        <f t="array" ref="P121">_xlfn.XLOOKUP(A121&amp;B121,'[1]Daily Sleep'!$A$2:$A$468&amp;'[1]Daily Sleep'!$B$2:$B$468,'[1]Daily Sleep'!$D$2:$D$468,"")</f>
        <v>0.3</v>
      </c>
      <c r="Q121" t="str">
        <f t="shared" si="2"/>
        <v>Saturday</v>
      </c>
      <c r="R121" t="str">
        <f t="shared" si="3"/>
        <v>Weekday</v>
      </c>
    </row>
    <row r="122" spans="1:18" x14ac:dyDescent="0.35">
      <c r="A122">
        <v>2347167796</v>
      </c>
      <c r="B122" s="1">
        <v>42470</v>
      </c>
      <c r="C122">
        <v>10078</v>
      </c>
      <c r="D122">
        <v>6.8299999237060502</v>
      </c>
      <c r="E122">
        <v>6.8299999237060502</v>
      </c>
      <c r="F122">
        <v>0</v>
      </c>
      <c r="G122">
        <v>1.0199999809265099</v>
      </c>
      <c r="H122">
        <v>0.119999997317791</v>
      </c>
      <c r="I122">
        <v>5.6900000572204599</v>
      </c>
      <c r="J122">
        <v>0</v>
      </c>
      <c r="K122">
        <v>12</v>
      </c>
      <c r="L122">
        <v>3</v>
      </c>
      <c r="M122">
        <v>303</v>
      </c>
      <c r="N122">
        <v>463</v>
      </c>
      <c r="O122">
        <v>2164</v>
      </c>
      <c r="P122" s="3" cm="1">
        <f t="array" ref="P122">_xlfn.XLOOKUP(A122&amp;B122,'[1]Daily Sleep'!$A$2:$A$468&amp;'[1]Daily Sleep'!$B$2:$B$468,'[1]Daily Sleep'!$D$2:$D$468,"")</f>
        <v>10.016666666666667</v>
      </c>
      <c r="Q122" t="str">
        <f t="shared" si="2"/>
        <v>Sunday</v>
      </c>
      <c r="R122" t="str">
        <f t="shared" si="3"/>
        <v>Weekday</v>
      </c>
    </row>
    <row r="123" spans="1:18" x14ac:dyDescent="0.35">
      <c r="A123">
        <v>2347167796</v>
      </c>
      <c r="B123" s="1">
        <v>42471</v>
      </c>
      <c r="C123">
        <v>10001</v>
      </c>
      <c r="D123">
        <v>6.6100001335143999</v>
      </c>
      <c r="E123">
        <v>6.6100001335143999</v>
      </c>
      <c r="F123">
        <v>0</v>
      </c>
      <c r="G123">
        <v>0.33000001311302202</v>
      </c>
      <c r="H123">
        <v>2.9300000667571999</v>
      </c>
      <c r="I123">
        <v>3.3599998950958301</v>
      </c>
      <c r="J123">
        <v>0</v>
      </c>
      <c r="K123">
        <v>5</v>
      </c>
      <c r="L123">
        <v>52</v>
      </c>
      <c r="M123">
        <v>196</v>
      </c>
      <c r="N123">
        <v>788</v>
      </c>
      <c r="O123">
        <v>2009</v>
      </c>
      <c r="P123" s="3" cm="1">
        <f t="array" ref="P123">_xlfn.XLOOKUP(A123&amp;B123,'[1]Daily Sleep'!$A$2:$A$468&amp;'[1]Daily Sleep'!$B$2:$B$468,'[1]Daily Sleep'!$D$2:$D$468,"")</f>
        <v>5.8833333333333337</v>
      </c>
      <c r="Q123" t="str">
        <f t="shared" si="2"/>
        <v>Monday</v>
      </c>
      <c r="R123" t="str">
        <f t="shared" si="3"/>
        <v>Weekday</v>
      </c>
    </row>
    <row r="124" spans="1:18" x14ac:dyDescent="0.35">
      <c r="A124">
        <v>2347167796</v>
      </c>
      <c r="B124" s="1">
        <v>42472</v>
      </c>
      <c r="C124">
        <v>0</v>
      </c>
      <c r="D124">
        <v>0</v>
      </c>
      <c r="E124">
        <v>0</v>
      </c>
      <c r="F124">
        <v>0</v>
      </c>
      <c r="G124">
        <v>0</v>
      </c>
      <c r="H124">
        <v>0</v>
      </c>
      <c r="I124">
        <v>0</v>
      </c>
      <c r="J124">
        <v>0</v>
      </c>
      <c r="K124">
        <v>0</v>
      </c>
      <c r="L124">
        <v>0</v>
      </c>
      <c r="M124">
        <v>0</v>
      </c>
      <c r="N124">
        <v>425</v>
      </c>
      <c r="O124">
        <v>399</v>
      </c>
      <c r="P124" s="3" t="str" cm="1">
        <f t="array" ref="P124">_xlfn.XLOOKUP(A124&amp;B124,'[1]Daily Sleep'!$A$2:$A$468&amp;'[1]Daily Sleep'!$B$2:$B$468,'[1]Daily Sleep'!$D$2:$D$468,"")</f>
        <v/>
      </c>
      <c r="Q124" t="str">
        <f t="shared" si="2"/>
        <v>Tuesday</v>
      </c>
      <c r="R124" t="str">
        <f t="shared" si="3"/>
        <v>Weekend</v>
      </c>
    </row>
    <row r="125" spans="1:18" x14ac:dyDescent="0.35">
      <c r="A125">
        <v>2873212765</v>
      </c>
      <c r="B125" s="1">
        <v>42461</v>
      </c>
      <c r="C125">
        <v>890</v>
      </c>
      <c r="D125">
        <v>0.60000002384185802</v>
      </c>
      <c r="E125">
        <v>0.60000002384185802</v>
      </c>
      <c r="F125">
        <v>0</v>
      </c>
      <c r="G125">
        <v>0</v>
      </c>
      <c r="H125">
        <v>0</v>
      </c>
      <c r="I125">
        <v>0.60000002384185802</v>
      </c>
      <c r="J125">
        <v>0</v>
      </c>
      <c r="K125">
        <v>0</v>
      </c>
      <c r="L125">
        <v>0</v>
      </c>
      <c r="M125">
        <v>41</v>
      </c>
      <c r="N125">
        <v>1399</v>
      </c>
      <c r="O125">
        <v>1335</v>
      </c>
      <c r="P125" s="3" t="str" cm="1">
        <f t="array" ref="P125">_xlfn.XLOOKUP(A125&amp;B125,'[1]Daily Sleep'!$A$2:$A$468&amp;'[1]Daily Sleep'!$B$2:$B$468,'[1]Daily Sleep'!$D$2:$D$468,"")</f>
        <v/>
      </c>
      <c r="Q125" t="str">
        <f t="shared" si="2"/>
        <v>Friday</v>
      </c>
      <c r="R125" t="str">
        <f t="shared" si="3"/>
        <v>Weekend</v>
      </c>
    </row>
    <row r="126" spans="1:18" x14ac:dyDescent="0.35">
      <c r="A126">
        <v>2873212765</v>
      </c>
      <c r="B126" s="1">
        <v>42462</v>
      </c>
      <c r="C126">
        <v>2214</v>
      </c>
      <c r="D126">
        <v>1.4900000095367401</v>
      </c>
      <c r="E126">
        <v>1.4900000095367401</v>
      </c>
      <c r="F126">
        <v>0</v>
      </c>
      <c r="G126">
        <v>0</v>
      </c>
      <c r="H126">
        <v>0</v>
      </c>
      <c r="I126">
        <v>1.4900000095367401</v>
      </c>
      <c r="J126">
        <v>0</v>
      </c>
      <c r="K126">
        <v>0</v>
      </c>
      <c r="L126">
        <v>0</v>
      </c>
      <c r="M126">
        <v>197</v>
      </c>
      <c r="N126">
        <v>1243</v>
      </c>
      <c r="O126">
        <v>1559</v>
      </c>
      <c r="P126" s="3" t="str" cm="1">
        <f t="array" ref="P126">_xlfn.XLOOKUP(A126&amp;B126,'[1]Daily Sleep'!$A$2:$A$468&amp;'[1]Daily Sleep'!$B$2:$B$468,'[1]Daily Sleep'!$D$2:$D$468,"")</f>
        <v/>
      </c>
      <c r="Q126" t="str">
        <f t="shared" si="2"/>
        <v>Saturday</v>
      </c>
      <c r="R126" t="str">
        <f t="shared" si="3"/>
        <v>Weekday</v>
      </c>
    </row>
    <row r="127" spans="1:18" x14ac:dyDescent="0.35">
      <c r="A127">
        <v>2873212765</v>
      </c>
      <c r="B127" s="1">
        <v>42463</v>
      </c>
      <c r="C127">
        <v>7640</v>
      </c>
      <c r="D127">
        <v>5.1300001144409197</v>
      </c>
      <c r="E127">
        <v>5.1300001144409197</v>
      </c>
      <c r="F127">
        <v>0</v>
      </c>
      <c r="G127">
        <v>0.18999999761581399</v>
      </c>
      <c r="H127">
        <v>0.80000001192092896</v>
      </c>
      <c r="I127">
        <v>4.1500000953674299</v>
      </c>
      <c r="J127">
        <v>0</v>
      </c>
      <c r="K127">
        <v>3</v>
      </c>
      <c r="L127">
        <v>15</v>
      </c>
      <c r="M127">
        <v>315</v>
      </c>
      <c r="N127">
        <v>1107</v>
      </c>
      <c r="O127">
        <v>1845</v>
      </c>
      <c r="P127" s="3" t="str" cm="1">
        <f t="array" ref="P127">_xlfn.XLOOKUP(A127&amp;B127,'[1]Daily Sleep'!$A$2:$A$468&amp;'[1]Daily Sleep'!$B$2:$B$468,'[1]Daily Sleep'!$D$2:$D$468,"")</f>
        <v/>
      </c>
      <c r="Q127" t="str">
        <f t="shared" si="2"/>
        <v>Sunday</v>
      </c>
      <c r="R127" t="str">
        <f t="shared" si="3"/>
        <v>Weekday</v>
      </c>
    </row>
    <row r="128" spans="1:18" x14ac:dyDescent="0.35">
      <c r="A128">
        <v>2873212765</v>
      </c>
      <c r="B128" s="1">
        <v>42464</v>
      </c>
      <c r="C128">
        <v>9713</v>
      </c>
      <c r="D128">
        <v>6.5300002098083496</v>
      </c>
      <c r="E128">
        <v>6.5300002098083496</v>
      </c>
      <c r="F128">
        <v>0</v>
      </c>
      <c r="G128">
        <v>0.34000000357627902</v>
      </c>
      <c r="H128">
        <v>0.88999998569488503</v>
      </c>
      <c r="I128">
        <v>5.28999996185303</v>
      </c>
      <c r="J128">
        <v>0</v>
      </c>
      <c r="K128">
        <v>6</v>
      </c>
      <c r="L128">
        <v>24</v>
      </c>
      <c r="M128">
        <v>355</v>
      </c>
      <c r="N128">
        <v>1055</v>
      </c>
      <c r="O128">
        <v>2046</v>
      </c>
      <c r="P128" s="3" t="str" cm="1">
        <f t="array" ref="P128">_xlfn.XLOOKUP(A128&amp;B128,'[1]Daily Sleep'!$A$2:$A$468&amp;'[1]Daily Sleep'!$B$2:$B$468,'[1]Daily Sleep'!$D$2:$D$468,"")</f>
        <v/>
      </c>
      <c r="Q128" t="str">
        <f t="shared" si="2"/>
        <v>Monday</v>
      </c>
      <c r="R128" t="str">
        <f t="shared" si="3"/>
        <v>Weekday</v>
      </c>
    </row>
    <row r="129" spans="1:18" x14ac:dyDescent="0.35">
      <c r="A129">
        <v>2873212765</v>
      </c>
      <c r="B129" s="1">
        <v>42465</v>
      </c>
      <c r="C129">
        <v>8432</v>
      </c>
      <c r="D129">
        <v>5.6700000762939498</v>
      </c>
      <c r="E129">
        <v>5.6700000762939498</v>
      </c>
      <c r="F129">
        <v>0</v>
      </c>
      <c r="G129">
        <v>0</v>
      </c>
      <c r="H129">
        <v>0</v>
      </c>
      <c r="I129">
        <v>5.6500000953674299</v>
      </c>
      <c r="J129">
        <v>9.9999997764825804E-3</v>
      </c>
      <c r="K129">
        <v>0</v>
      </c>
      <c r="L129">
        <v>0</v>
      </c>
      <c r="M129">
        <v>374</v>
      </c>
      <c r="N129">
        <v>1066</v>
      </c>
      <c r="O129">
        <v>1953</v>
      </c>
      <c r="P129" s="3" t="str" cm="1">
        <f t="array" ref="P129">_xlfn.XLOOKUP(A129&amp;B129,'[1]Daily Sleep'!$A$2:$A$468&amp;'[1]Daily Sleep'!$B$2:$B$468,'[1]Daily Sleep'!$D$2:$D$468,"")</f>
        <v/>
      </c>
      <c r="Q129" t="str">
        <f t="shared" si="2"/>
        <v>Tuesday</v>
      </c>
      <c r="R129" t="str">
        <f t="shared" si="3"/>
        <v>Weekday</v>
      </c>
    </row>
    <row r="130" spans="1:18" x14ac:dyDescent="0.35">
      <c r="A130">
        <v>2873212765</v>
      </c>
      <c r="B130" s="1">
        <v>42466</v>
      </c>
      <c r="C130">
        <v>7350</v>
      </c>
      <c r="D130">
        <v>4.9400000572204599</v>
      </c>
      <c r="E130">
        <v>4.9400000572204599</v>
      </c>
      <c r="F130">
        <v>0</v>
      </c>
      <c r="G130">
        <v>0</v>
      </c>
      <c r="H130">
        <v>0</v>
      </c>
      <c r="I130">
        <v>4.9400000572204599</v>
      </c>
      <c r="J130">
        <v>0</v>
      </c>
      <c r="K130">
        <v>0</v>
      </c>
      <c r="L130">
        <v>0</v>
      </c>
      <c r="M130">
        <v>382</v>
      </c>
      <c r="N130">
        <v>1058</v>
      </c>
      <c r="O130">
        <v>1910</v>
      </c>
      <c r="P130" s="3" t="str" cm="1">
        <f t="array" ref="P130">_xlfn.XLOOKUP(A130&amp;B130,'[1]Daily Sleep'!$A$2:$A$468&amp;'[1]Daily Sleep'!$B$2:$B$468,'[1]Daily Sleep'!$D$2:$D$468,"")</f>
        <v/>
      </c>
      <c r="Q130" t="str">
        <f t="shared" si="2"/>
        <v>Wednesday</v>
      </c>
      <c r="R130" t="str">
        <f t="shared" si="3"/>
        <v>Weekday</v>
      </c>
    </row>
    <row r="131" spans="1:18" x14ac:dyDescent="0.35">
      <c r="A131">
        <v>2873212765</v>
      </c>
      <c r="B131" s="1">
        <v>42467</v>
      </c>
      <c r="C131">
        <v>9353</v>
      </c>
      <c r="D131">
        <v>6.3099999427795401</v>
      </c>
      <c r="E131">
        <v>6.3099999427795401</v>
      </c>
      <c r="F131">
        <v>0</v>
      </c>
      <c r="G131">
        <v>0.37000000476837203</v>
      </c>
      <c r="H131">
        <v>0.68999999761581399</v>
      </c>
      <c r="I131">
        <v>5.2399997711181596</v>
      </c>
      <c r="J131">
        <v>0</v>
      </c>
      <c r="K131">
        <v>5</v>
      </c>
      <c r="L131">
        <v>17</v>
      </c>
      <c r="M131">
        <v>363</v>
      </c>
      <c r="N131">
        <v>1055</v>
      </c>
      <c r="O131">
        <v>2035</v>
      </c>
      <c r="P131" s="3" t="str" cm="1">
        <f t="array" ref="P131">_xlfn.XLOOKUP(A131&amp;B131,'[1]Daily Sleep'!$A$2:$A$468&amp;'[1]Daily Sleep'!$B$2:$B$468,'[1]Daily Sleep'!$D$2:$D$468,"")</f>
        <v/>
      </c>
      <c r="Q131" t="str">
        <f t="shared" ref="Q131:Q194" si="4">TEXT(B131,"dddd")</f>
        <v>Thursday</v>
      </c>
      <c r="R131" t="str">
        <f t="shared" ref="R131:R194" si="5">IF(OR(WEEKDAY(B132,2)=5,WEEKDAY(B132,2)=6),"Weekend","Weekday")</f>
        <v>Weekend</v>
      </c>
    </row>
    <row r="132" spans="1:18" x14ac:dyDescent="0.35">
      <c r="A132">
        <v>2873212765</v>
      </c>
      <c r="B132" s="1">
        <v>42468</v>
      </c>
      <c r="C132">
        <v>7157</v>
      </c>
      <c r="D132">
        <v>4.8099999427795401</v>
      </c>
      <c r="E132">
        <v>4.8099999427795401</v>
      </c>
      <c r="F132">
        <v>0</v>
      </c>
      <c r="G132">
        <v>0</v>
      </c>
      <c r="H132">
        <v>0</v>
      </c>
      <c r="I132">
        <v>4.8099999427795401</v>
      </c>
      <c r="J132">
        <v>0</v>
      </c>
      <c r="K132">
        <v>0</v>
      </c>
      <c r="L132">
        <v>0</v>
      </c>
      <c r="M132">
        <v>380</v>
      </c>
      <c r="N132">
        <v>1060</v>
      </c>
      <c r="O132">
        <v>1944</v>
      </c>
      <c r="P132" s="3" t="str" cm="1">
        <f t="array" ref="P132">_xlfn.XLOOKUP(A132&amp;B132,'[1]Daily Sleep'!$A$2:$A$468&amp;'[1]Daily Sleep'!$B$2:$B$468,'[1]Daily Sleep'!$D$2:$D$468,"")</f>
        <v/>
      </c>
      <c r="Q132" t="str">
        <f t="shared" si="4"/>
        <v>Friday</v>
      </c>
      <c r="R132" t="str">
        <f t="shared" si="5"/>
        <v>Weekend</v>
      </c>
    </row>
    <row r="133" spans="1:18" x14ac:dyDescent="0.35">
      <c r="A133">
        <v>2873212765</v>
      </c>
      <c r="B133" s="1">
        <v>42469</v>
      </c>
      <c r="C133">
        <v>14103</v>
      </c>
      <c r="D133">
        <v>9.5600004196166992</v>
      </c>
      <c r="E133">
        <v>9.5600004196166992</v>
      </c>
      <c r="F133">
        <v>0</v>
      </c>
      <c r="G133">
        <v>3.0199999809265101</v>
      </c>
      <c r="H133">
        <v>0.40999999642372098</v>
      </c>
      <c r="I133">
        <v>6.1399998664856001</v>
      </c>
      <c r="J133">
        <v>9.9999997764825804E-3</v>
      </c>
      <c r="K133">
        <v>46</v>
      </c>
      <c r="L133">
        <v>8</v>
      </c>
      <c r="M133">
        <v>288</v>
      </c>
      <c r="N133">
        <v>1098</v>
      </c>
      <c r="O133">
        <v>2257</v>
      </c>
      <c r="P133" s="3" t="str" cm="1">
        <f t="array" ref="P133">_xlfn.XLOOKUP(A133&amp;B133,'[1]Daily Sleep'!$A$2:$A$468&amp;'[1]Daily Sleep'!$B$2:$B$468,'[1]Daily Sleep'!$D$2:$D$468,"")</f>
        <v/>
      </c>
      <c r="Q133" t="str">
        <f t="shared" si="4"/>
        <v>Saturday</v>
      </c>
      <c r="R133" t="str">
        <f t="shared" si="5"/>
        <v>Weekday</v>
      </c>
    </row>
    <row r="134" spans="1:18" x14ac:dyDescent="0.35">
      <c r="A134">
        <v>2873212765</v>
      </c>
      <c r="B134" s="1">
        <v>42470</v>
      </c>
      <c r="C134">
        <v>5290</v>
      </c>
      <c r="D134">
        <v>3.5499999523162802</v>
      </c>
      <c r="E134">
        <v>3.5499999523162802</v>
      </c>
      <c r="F134">
        <v>0</v>
      </c>
      <c r="G134">
        <v>3.9999999105930301E-2</v>
      </c>
      <c r="H134">
        <v>0.34000000357627902</v>
      </c>
      <c r="I134">
        <v>3.1700000762939502</v>
      </c>
      <c r="J134">
        <v>0</v>
      </c>
      <c r="K134">
        <v>1</v>
      </c>
      <c r="L134">
        <v>8</v>
      </c>
      <c r="M134">
        <v>251</v>
      </c>
      <c r="N134">
        <v>1180</v>
      </c>
      <c r="O134">
        <v>1724</v>
      </c>
      <c r="P134" s="3" t="str" cm="1">
        <f t="array" ref="P134">_xlfn.XLOOKUP(A134&amp;B134,'[1]Daily Sleep'!$A$2:$A$468&amp;'[1]Daily Sleep'!$B$2:$B$468,'[1]Daily Sleep'!$D$2:$D$468,"")</f>
        <v/>
      </c>
      <c r="Q134" t="str">
        <f t="shared" si="4"/>
        <v>Sunday</v>
      </c>
      <c r="R134" t="str">
        <f t="shared" si="5"/>
        <v>Weekday</v>
      </c>
    </row>
    <row r="135" spans="1:18" x14ac:dyDescent="0.35">
      <c r="A135">
        <v>2873212765</v>
      </c>
      <c r="B135" s="1">
        <v>42471</v>
      </c>
      <c r="C135">
        <v>7497</v>
      </c>
      <c r="D135">
        <v>5.03999996185303</v>
      </c>
      <c r="E135">
        <v>5.03999996185303</v>
      </c>
      <c r="F135">
        <v>0</v>
      </c>
      <c r="G135">
        <v>0</v>
      </c>
      <c r="H135">
        <v>0</v>
      </c>
      <c r="I135">
        <v>5.03999996185303</v>
      </c>
      <c r="J135">
        <v>0</v>
      </c>
      <c r="K135">
        <v>0</v>
      </c>
      <c r="L135">
        <v>0</v>
      </c>
      <c r="M135">
        <v>357</v>
      </c>
      <c r="N135">
        <v>882</v>
      </c>
      <c r="O135">
        <v>1741</v>
      </c>
      <c r="P135" s="3" t="str" cm="1">
        <f t="array" ref="P135">_xlfn.XLOOKUP(A135&amp;B135,'[1]Daily Sleep'!$A$2:$A$468&amp;'[1]Daily Sleep'!$B$2:$B$468,'[1]Daily Sleep'!$D$2:$D$468,"")</f>
        <v/>
      </c>
      <c r="Q135" t="str">
        <f t="shared" si="4"/>
        <v>Monday</v>
      </c>
      <c r="R135" t="str">
        <f t="shared" si="5"/>
        <v>Weekday</v>
      </c>
    </row>
    <row r="136" spans="1:18" x14ac:dyDescent="0.35">
      <c r="A136">
        <v>2873212765</v>
      </c>
      <c r="B136" s="1">
        <v>42472</v>
      </c>
      <c r="C136">
        <v>0</v>
      </c>
      <c r="D136">
        <v>0</v>
      </c>
      <c r="E136">
        <v>0</v>
      </c>
      <c r="F136">
        <v>0</v>
      </c>
      <c r="G136">
        <v>0</v>
      </c>
      <c r="H136">
        <v>0</v>
      </c>
      <c r="I136">
        <v>0</v>
      </c>
      <c r="J136">
        <v>0</v>
      </c>
      <c r="K136">
        <v>0</v>
      </c>
      <c r="L136">
        <v>0</v>
      </c>
      <c r="M136">
        <v>0</v>
      </c>
      <c r="N136">
        <v>1440</v>
      </c>
      <c r="O136">
        <v>0</v>
      </c>
      <c r="P136" s="3" t="str" cm="1">
        <f t="array" ref="P136">_xlfn.XLOOKUP(A136&amp;B136,'[1]Daily Sleep'!$A$2:$A$468&amp;'[1]Daily Sleep'!$B$2:$B$468,'[1]Daily Sleep'!$D$2:$D$468,"")</f>
        <v/>
      </c>
      <c r="Q136" t="str">
        <f t="shared" si="4"/>
        <v>Tuesday</v>
      </c>
      <c r="R136" t="str">
        <f t="shared" si="5"/>
        <v>Weekday</v>
      </c>
    </row>
    <row r="137" spans="1:18" x14ac:dyDescent="0.35">
      <c r="A137">
        <v>2891001357</v>
      </c>
      <c r="B137" s="1">
        <v>42458</v>
      </c>
      <c r="C137">
        <v>0</v>
      </c>
      <c r="D137">
        <v>0</v>
      </c>
      <c r="E137">
        <v>0</v>
      </c>
      <c r="F137">
        <v>0</v>
      </c>
      <c r="G137">
        <v>0</v>
      </c>
      <c r="H137">
        <v>0</v>
      </c>
      <c r="I137">
        <v>0</v>
      </c>
      <c r="J137">
        <v>0</v>
      </c>
      <c r="K137">
        <v>0</v>
      </c>
      <c r="L137">
        <v>0</v>
      </c>
      <c r="M137">
        <v>0</v>
      </c>
      <c r="N137">
        <v>1440</v>
      </c>
      <c r="O137">
        <v>1920</v>
      </c>
      <c r="P137" s="3" t="str" cm="1">
        <f t="array" ref="P137">_xlfn.XLOOKUP(A137&amp;B137,'[1]Daily Sleep'!$A$2:$A$468&amp;'[1]Daily Sleep'!$B$2:$B$468,'[1]Daily Sleep'!$D$2:$D$468,"")</f>
        <v/>
      </c>
      <c r="Q137" t="str">
        <f t="shared" si="4"/>
        <v>Tuesday</v>
      </c>
      <c r="R137" t="str">
        <f t="shared" si="5"/>
        <v>Weekday</v>
      </c>
    </row>
    <row r="138" spans="1:18" x14ac:dyDescent="0.35">
      <c r="A138">
        <v>2891001357</v>
      </c>
      <c r="B138" s="1">
        <v>42459</v>
      </c>
      <c r="C138">
        <v>0</v>
      </c>
      <c r="D138">
        <v>0</v>
      </c>
      <c r="E138">
        <v>0</v>
      </c>
      <c r="F138">
        <v>0</v>
      </c>
      <c r="G138">
        <v>0</v>
      </c>
      <c r="H138">
        <v>0</v>
      </c>
      <c r="I138">
        <v>0</v>
      </c>
      <c r="J138">
        <v>0</v>
      </c>
      <c r="K138">
        <v>0</v>
      </c>
      <c r="L138">
        <v>0</v>
      </c>
      <c r="M138">
        <v>0</v>
      </c>
      <c r="N138">
        <v>1440</v>
      </c>
      <c r="O138">
        <v>1920</v>
      </c>
      <c r="P138" s="3" t="str" cm="1">
        <f t="array" ref="P138">_xlfn.XLOOKUP(A138&amp;B138,'[1]Daily Sleep'!$A$2:$A$468&amp;'[1]Daily Sleep'!$B$2:$B$468,'[1]Daily Sleep'!$D$2:$D$468,"")</f>
        <v/>
      </c>
      <c r="Q138" t="str">
        <f t="shared" si="4"/>
        <v>Wednesday</v>
      </c>
      <c r="R138" t="str">
        <f t="shared" si="5"/>
        <v>Weekday</v>
      </c>
    </row>
    <row r="139" spans="1:18" x14ac:dyDescent="0.35">
      <c r="A139">
        <v>2891001357</v>
      </c>
      <c r="B139" s="1">
        <v>42460</v>
      </c>
      <c r="C139">
        <v>0</v>
      </c>
      <c r="D139">
        <v>0</v>
      </c>
      <c r="E139">
        <v>0</v>
      </c>
      <c r="F139">
        <v>0</v>
      </c>
      <c r="G139">
        <v>0</v>
      </c>
      <c r="H139">
        <v>0</v>
      </c>
      <c r="I139">
        <v>0</v>
      </c>
      <c r="J139">
        <v>0</v>
      </c>
      <c r="K139">
        <v>0</v>
      </c>
      <c r="L139">
        <v>0</v>
      </c>
      <c r="M139">
        <v>0</v>
      </c>
      <c r="N139">
        <v>1440</v>
      </c>
      <c r="O139">
        <v>1920</v>
      </c>
      <c r="P139" s="3" t="str" cm="1">
        <f t="array" ref="P139">_xlfn.XLOOKUP(A139&amp;B139,'[1]Daily Sleep'!$A$2:$A$468&amp;'[1]Daily Sleep'!$B$2:$B$468,'[1]Daily Sleep'!$D$2:$D$468,"")</f>
        <v/>
      </c>
      <c r="Q139" t="str">
        <f t="shared" si="4"/>
        <v>Thursday</v>
      </c>
      <c r="R139" t="str">
        <f t="shared" si="5"/>
        <v>Weekend</v>
      </c>
    </row>
    <row r="140" spans="1:18" x14ac:dyDescent="0.35">
      <c r="A140">
        <v>2891001357</v>
      </c>
      <c r="B140" s="1">
        <v>42461</v>
      </c>
      <c r="C140">
        <v>0</v>
      </c>
      <c r="D140">
        <v>0</v>
      </c>
      <c r="E140">
        <v>0</v>
      </c>
      <c r="F140">
        <v>4.8280320167541504</v>
      </c>
      <c r="G140">
        <v>0</v>
      </c>
      <c r="H140">
        <v>0</v>
      </c>
      <c r="I140">
        <v>0</v>
      </c>
      <c r="J140">
        <v>0</v>
      </c>
      <c r="K140">
        <v>0</v>
      </c>
      <c r="L140">
        <v>660</v>
      </c>
      <c r="M140">
        <v>0</v>
      </c>
      <c r="N140">
        <v>780</v>
      </c>
      <c r="O140">
        <v>4562</v>
      </c>
      <c r="P140" s="3" t="str" cm="1">
        <f t="array" ref="P140">_xlfn.XLOOKUP(A140&amp;B140,'[1]Daily Sleep'!$A$2:$A$468&amp;'[1]Daily Sleep'!$B$2:$B$468,'[1]Daily Sleep'!$D$2:$D$468,"")</f>
        <v/>
      </c>
      <c r="Q140" t="str">
        <f t="shared" si="4"/>
        <v>Friday</v>
      </c>
      <c r="R140" t="str">
        <f t="shared" si="5"/>
        <v>Weekend</v>
      </c>
    </row>
    <row r="141" spans="1:18" x14ac:dyDescent="0.35">
      <c r="A141">
        <v>2891001357</v>
      </c>
      <c r="B141" s="1">
        <v>42462</v>
      </c>
      <c r="C141">
        <v>4126</v>
      </c>
      <c r="D141">
        <v>3.2200000286102299</v>
      </c>
      <c r="E141">
        <v>0</v>
      </c>
      <c r="F141">
        <v>3.21868801116943</v>
      </c>
      <c r="G141">
        <v>0</v>
      </c>
      <c r="H141">
        <v>0</v>
      </c>
      <c r="I141">
        <v>3.2200000286102299</v>
      </c>
      <c r="J141">
        <v>0</v>
      </c>
      <c r="K141">
        <v>0</v>
      </c>
      <c r="L141">
        <v>0</v>
      </c>
      <c r="M141">
        <v>720</v>
      </c>
      <c r="N141">
        <v>720</v>
      </c>
      <c r="O141">
        <v>2881</v>
      </c>
      <c r="P141" s="3" t="str" cm="1">
        <f t="array" ref="P141">_xlfn.XLOOKUP(A141&amp;B141,'[1]Daily Sleep'!$A$2:$A$468&amp;'[1]Daily Sleep'!$B$2:$B$468,'[1]Daily Sleep'!$D$2:$D$468,"")</f>
        <v/>
      </c>
      <c r="Q141" t="str">
        <f t="shared" si="4"/>
        <v>Saturday</v>
      </c>
      <c r="R141" t="str">
        <f t="shared" si="5"/>
        <v>Weekday</v>
      </c>
    </row>
    <row r="142" spans="1:18" x14ac:dyDescent="0.35">
      <c r="A142">
        <v>2891001357</v>
      </c>
      <c r="B142" s="1">
        <v>42463</v>
      </c>
      <c r="C142">
        <v>0</v>
      </c>
      <c r="D142">
        <v>0</v>
      </c>
      <c r="E142">
        <v>0</v>
      </c>
      <c r="F142">
        <v>0</v>
      </c>
      <c r="G142">
        <v>0</v>
      </c>
      <c r="H142">
        <v>0</v>
      </c>
      <c r="I142">
        <v>0</v>
      </c>
      <c r="J142">
        <v>0</v>
      </c>
      <c r="K142">
        <v>0</v>
      </c>
      <c r="L142">
        <v>0</v>
      </c>
      <c r="M142">
        <v>0</v>
      </c>
      <c r="N142">
        <v>1440</v>
      </c>
      <c r="O142">
        <v>1920</v>
      </c>
      <c r="P142" s="3" t="str" cm="1">
        <f t="array" ref="P142">_xlfn.XLOOKUP(A142&amp;B142,'[1]Daily Sleep'!$A$2:$A$468&amp;'[1]Daily Sleep'!$B$2:$B$468,'[1]Daily Sleep'!$D$2:$D$468,"")</f>
        <v/>
      </c>
      <c r="Q142" t="str">
        <f t="shared" si="4"/>
        <v>Sunday</v>
      </c>
      <c r="R142" t="str">
        <f t="shared" si="5"/>
        <v>Weekday</v>
      </c>
    </row>
    <row r="143" spans="1:18" x14ac:dyDescent="0.35">
      <c r="A143">
        <v>2891001357</v>
      </c>
      <c r="B143" s="1">
        <v>42464</v>
      </c>
      <c r="C143">
        <v>0</v>
      </c>
      <c r="D143">
        <v>0</v>
      </c>
      <c r="E143">
        <v>0</v>
      </c>
      <c r="F143">
        <v>0</v>
      </c>
      <c r="G143">
        <v>0</v>
      </c>
      <c r="H143">
        <v>0</v>
      </c>
      <c r="I143">
        <v>0</v>
      </c>
      <c r="J143">
        <v>0</v>
      </c>
      <c r="K143">
        <v>0</v>
      </c>
      <c r="L143">
        <v>0</v>
      </c>
      <c r="M143">
        <v>0</v>
      </c>
      <c r="N143">
        <v>1440</v>
      </c>
      <c r="O143">
        <v>1920</v>
      </c>
      <c r="P143" s="3" t="str" cm="1">
        <f t="array" ref="P143">_xlfn.XLOOKUP(A143&amp;B143,'[1]Daily Sleep'!$A$2:$A$468&amp;'[1]Daily Sleep'!$B$2:$B$468,'[1]Daily Sleep'!$D$2:$D$468,"")</f>
        <v/>
      </c>
      <c r="Q143" t="str">
        <f t="shared" si="4"/>
        <v>Monday</v>
      </c>
      <c r="R143" t="str">
        <f t="shared" si="5"/>
        <v>Weekday</v>
      </c>
    </row>
    <row r="144" spans="1:18" x14ac:dyDescent="0.35">
      <c r="A144">
        <v>2891001357</v>
      </c>
      <c r="B144" s="1">
        <v>42465</v>
      </c>
      <c r="C144">
        <v>2063</v>
      </c>
      <c r="D144">
        <v>1.6100000143051101</v>
      </c>
      <c r="E144">
        <v>0</v>
      </c>
      <c r="F144">
        <v>1.6093440055847199</v>
      </c>
      <c r="G144">
        <v>0</v>
      </c>
      <c r="H144">
        <v>0</v>
      </c>
      <c r="I144">
        <v>1.6100000143051101</v>
      </c>
      <c r="J144">
        <v>0</v>
      </c>
      <c r="K144">
        <v>0</v>
      </c>
      <c r="L144">
        <v>0</v>
      </c>
      <c r="M144">
        <v>630</v>
      </c>
      <c r="N144">
        <v>99</v>
      </c>
      <c r="O144">
        <v>1144</v>
      </c>
      <c r="P144" s="3" t="str" cm="1">
        <f t="array" ref="P144">_xlfn.XLOOKUP(A144&amp;B144,'[1]Daily Sleep'!$A$2:$A$468&amp;'[1]Daily Sleep'!$B$2:$B$468,'[1]Daily Sleep'!$D$2:$D$468,"")</f>
        <v/>
      </c>
      <c r="Q144" t="str">
        <f t="shared" si="4"/>
        <v>Tuesday</v>
      </c>
      <c r="R144" t="str">
        <f t="shared" si="5"/>
        <v>Weekend</v>
      </c>
    </row>
    <row r="145" spans="1:18" x14ac:dyDescent="0.35">
      <c r="A145">
        <v>3372868164</v>
      </c>
      <c r="B145" s="1">
        <v>42461</v>
      </c>
      <c r="C145">
        <v>5785</v>
      </c>
      <c r="D145">
        <v>3.9500000476837198</v>
      </c>
      <c r="E145">
        <v>3.9500000476837198</v>
      </c>
      <c r="F145">
        <v>0</v>
      </c>
      <c r="G145">
        <v>0</v>
      </c>
      <c r="H145">
        <v>0</v>
      </c>
      <c r="I145">
        <v>3.9100000858306898</v>
      </c>
      <c r="J145">
        <v>3.9999999105930301E-2</v>
      </c>
      <c r="K145">
        <v>0</v>
      </c>
      <c r="L145">
        <v>0</v>
      </c>
      <c r="M145">
        <v>311</v>
      </c>
      <c r="N145">
        <v>1129</v>
      </c>
      <c r="O145">
        <v>1852</v>
      </c>
      <c r="P145" s="3" t="str" cm="1">
        <f t="array" ref="P145">_xlfn.XLOOKUP(A145&amp;B145,'[1]Daily Sleep'!$A$2:$A$468&amp;'[1]Daily Sleep'!$B$2:$B$468,'[1]Daily Sleep'!$D$2:$D$468,"")</f>
        <v/>
      </c>
      <c r="Q145" t="str">
        <f t="shared" si="4"/>
        <v>Friday</v>
      </c>
      <c r="R145" t="str">
        <f t="shared" si="5"/>
        <v>Weekend</v>
      </c>
    </row>
    <row r="146" spans="1:18" x14ac:dyDescent="0.35">
      <c r="A146">
        <v>3372868164</v>
      </c>
      <c r="B146" s="1">
        <v>42462</v>
      </c>
      <c r="C146">
        <v>7625</v>
      </c>
      <c r="D146">
        <v>5.2300000190734899</v>
      </c>
      <c r="E146">
        <v>5.2300000190734899</v>
      </c>
      <c r="F146">
        <v>0</v>
      </c>
      <c r="G146">
        <v>1.6799999475479099</v>
      </c>
      <c r="H146">
        <v>3.9999999105930301E-2</v>
      </c>
      <c r="I146">
        <v>3.5</v>
      </c>
      <c r="J146">
        <v>9.9999997764825804E-3</v>
      </c>
      <c r="K146">
        <v>24</v>
      </c>
      <c r="L146">
        <v>1</v>
      </c>
      <c r="M146">
        <v>341</v>
      </c>
      <c r="N146">
        <v>1074</v>
      </c>
      <c r="O146">
        <v>2069</v>
      </c>
      <c r="P146" s="3" t="str" cm="1">
        <f t="array" ref="P146">_xlfn.XLOOKUP(A146&amp;B146,'[1]Daily Sleep'!$A$2:$A$468&amp;'[1]Daily Sleep'!$B$2:$B$468,'[1]Daily Sleep'!$D$2:$D$468,"")</f>
        <v/>
      </c>
      <c r="Q146" t="str">
        <f t="shared" si="4"/>
        <v>Saturday</v>
      </c>
      <c r="R146" t="str">
        <f t="shared" si="5"/>
        <v>Weekday</v>
      </c>
    </row>
    <row r="147" spans="1:18" x14ac:dyDescent="0.35">
      <c r="A147">
        <v>3372868164</v>
      </c>
      <c r="B147" s="1">
        <v>42463</v>
      </c>
      <c r="C147">
        <v>4706</v>
      </c>
      <c r="D147">
        <v>3.21000003814697</v>
      </c>
      <c r="E147">
        <v>3.21000003814697</v>
      </c>
      <c r="F147">
        <v>0</v>
      </c>
      <c r="G147">
        <v>0</v>
      </c>
      <c r="H147">
        <v>0</v>
      </c>
      <c r="I147">
        <v>3.21000003814697</v>
      </c>
      <c r="J147">
        <v>0</v>
      </c>
      <c r="K147">
        <v>0</v>
      </c>
      <c r="L147">
        <v>0</v>
      </c>
      <c r="M147">
        <v>299</v>
      </c>
      <c r="N147">
        <v>1141</v>
      </c>
      <c r="O147">
        <v>1816</v>
      </c>
      <c r="P147" s="3" t="str" cm="1">
        <f t="array" ref="P147">_xlfn.XLOOKUP(A147&amp;B147,'[1]Daily Sleep'!$A$2:$A$468&amp;'[1]Daily Sleep'!$B$2:$B$468,'[1]Daily Sleep'!$D$2:$D$468,"")</f>
        <v/>
      </c>
      <c r="Q147" t="str">
        <f t="shared" si="4"/>
        <v>Sunday</v>
      </c>
      <c r="R147" t="str">
        <f t="shared" si="5"/>
        <v>Weekday</v>
      </c>
    </row>
    <row r="148" spans="1:18" x14ac:dyDescent="0.35">
      <c r="A148">
        <v>3372868164</v>
      </c>
      <c r="B148" s="1">
        <v>42464</v>
      </c>
      <c r="C148">
        <v>5861</v>
      </c>
      <c r="D148">
        <v>4.0199999809265101</v>
      </c>
      <c r="E148">
        <v>4.0199999809265101</v>
      </c>
      <c r="F148">
        <v>0</v>
      </c>
      <c r="G148">
        <v>1.29999995231628</v>
      </c>
      <c r="H148">
        <v>0.21999999880790699</v>
      </c>
      <c r="I148">
        <v>2.4900000095367401</v>
      </c>
      <c r="J148">
        <v>9.9999997764825804E-3</v>
      </c>
      <c r="K148">
        <v>20</v>
      </c>
      <c r="L148">
        <v>7</v>
      </c>
      <c r="M148">
        <v>233</v>
      </c>
      <c r="N148">
        <v>1180</v>
      </c>
      <c r="O148">
        <v>1878</v>
      </c>
      <c r="P148" s="3" t="str" cm="1">
        <f t="array" ref="P148">_xlfn.XLOOKUP(A148&amp;B148,'[1]Daily Sleep'!$A$2:$A$468&amp;'[1]Daily Sleep'!$B$2:$B$468,'[1]Daily Sleep'!$D$2:$D$468,"")</f>
        <v/>
      </c>
      <c r="Q148" t="str">
        <f t="shared" si="4"/>
        <v>Monday</v>
      </c>
      <c r="R148" t="str">
        <f t="shared" si="5"/>
        <v>Weekday</v>
      </c>
    </row>
    <row r="149" spans="1:18" x14ac:dyDescent="0.35">
      <c r="A149">
        <v>3372868164</v>
      </c>
      <c r="B149" s="1">
        <v>42465</v>
      </c>
      <c r="C149">
        <v>4460</v>
      </c>
      <c r="D149">
        <v>3.03999996185303</v>
      </c>
      <c r="E149">
        <v>3.03999996185303</v>
      </c>
      <c r="F149">
        <v>0</v>
      </c>
      <c r="G149">
        <v>0</v>
      </c>
      <c r="H149">
        <v>0</v>
      </c>
      <c r="I149">
        <v>3.0199999809265101</v>
      </c>
      <c r="J149">
        <v>2.9999999329447701E-2</v>
      </c>
      <c r="K149">
        <v>0</v>
      </c>
      <c r="L149">
        <v>0</v>
      </c>
      <c r="M149">
        <v>248</v>
      </c>
      <c r="N149">
        <v>1192</v>
      </c>
      <c r="O149">
        <v>1787</v>
      </c>
      <c r="P149" s="3" t="str" cm="1">
        <f t="array" ref="P149">_xlfn.XLOOKUP(A149&amp;B149,'[1]Daily Sleep'!$A$2:$A$468&amp;'[1]Daily Sleep'!$B$2:$B$468,'[1]Daily Sleep'!$D$2:$D$468,"")</f>
        <v/>
      </c>
      <c r="Q149" t="str">
        <f t="shared" si="4"/>
        <v>Tuesday</v>
      </c>
      <c r="R149" t="str">
        <f t="shared" si="5"/>
        <v>Weekday</v>
      </c>
    </row>
    <row r="150" spans="1:18" x14ac:dyDescent="0.35">
      <c r="A150">
        <v>3372868164</v>
      </c>
      <c r="B150" s="1">
        <v>42466</v>
      </c>
      <c r="C150">
        <v>6406</v>
      </c>
      <c r="D150">
        <v>4.3899998664856001</v>
      </c>
      <c r="E150">
        <v>4.3899998664856001</v>
      </c>
      <c r="F150">
        <v>0</v>
      </c>
      <c r="G150">
        <v>0.77999997138977095</v>
      </c>
      <c r="H150">
        <v>9.00000035762787E-2</v>
      </c>
      <c r="I150">
        <v>3.5199999809265101</v>
      </c>
      <c r="J150">
        <v>9.9999997764825804E-3</v>
      </c>
      <c r="K150">
        <v>17</v>
      </c>
      <c r="L150">
        <v>4</v>
      </c>
      <c r="M150">
        <v>325</v>
      </c>
      <c r="N150">
        <v>1094</v>
      </c>
      <c r="O150">
        <v>2010</v>
      </c>
      <c r="P150" s="3" t="str" cm="1">
        <f t="array" ref="P150">_xlfn.XLOOKUP(A150&amp;B150,'[1]Daily Sleep'!$A$2:$A$468&amp;'[1]Daily Sleep'!$B$2:$B$468,'[1]Daily Sleep'!$D$2:$D$468,"")</f>
        <v/>
      </c>
      <c r="Q150" t="str">
        <f t="shared" si="4"/>
        <v>Wednesday</v>
      </c>
      <c r="R150" t="str">
        <f t="shared" si="5"/>
        <v>Weekday</v>
      </c>
    </row>
    <row r="151" spans="1:18" x14ac:dyDescent="0.35">
      <c r="A151">
        <v>3372868164</v>
      </c>
      <c r="B151" s="1">
        <v>42467</v>
      </c>
      <c r="C151">
        <v>7392</v>
      </c>
      <c r="D151">
        <v>5.0999999046325701</v>
      </c>
      <c r="E151">
        <v>5.0999999046325701</v>
      </c>
      <c r="F151">
        <v>0</v>
      </c>
      <c r="G151">
        <v>0.87000000476837203</v>
      </c>
      <c r="H151">
        <v>0.15999999642372101</v>
      </c>
      <c r="I151">
        <v>4.0500001907348597</v>
      </c>
      <c r="J151">
        <v>1.9999999552965199E-2</v>
      </c>
      <c r="K151">
        <v>14</v>
      </c>
      <c r="L151">
        <v>9</v>
      </c>
      <c r="M151">
        <v>332</v>
      </c>
      <c r="N151">
        <v>1085</v>
      </c>
      <c r="O151">
        <v>2038</v>
      </c>
      <c r="P151" s="3" t="str" cm="1">
        <f t="array" ref="P151">_xlfn.XLOOKUP(A151&amp;B151,'[1]Daily Sleep'!$A$2:$A$468&amp;'[1]Daily Sleep'!$B$2:$B$468,'[1]Daily Sleep'!$D$2:$D$468,"")</f>
        <v/>
      </c>
      <c r="Q151" t="str">
        <f t="shared" si="4"/>
        <v>Thursday</v>
      </c>
      <c r="R151" t="str">
        <f t="shared" si="5"/>
        <v>Weekend</v>
      </c>
    </row>
    <row r="152" spans="1:18" x14ac:dyDescent="0.35">
      <c r="A152">
        <v>3372868164</v>
      </c>
      <c r="B152" s="1">
        <v>42468</v>
      </c>
      <c r="C152">
        <v>5551</v>
      </c>
      <c r="D152">
        <v>3.78999996185303</v>
      </c>
      <c r="E152">
        <v>3.78999996185303</v>
      </c>
      <c r="F152">
        <v>0</v>
      </c>
      <c r="G152">
        <v>0</v>
      </c>
      <c r="H152">
        <v>0</v>
      </c>
      <c r="I152">
        <v>3.7699999809265101</v>
      </c>
      <c r="J152">
        <v>9.9999997764825804E-3</v>
      </c>
      <c r="K152">
        <v>0</v>
      </c>
      <c r="L152">
        <v>0</v>
      </c>
      <c r="M152">
        <v>282</v>
      </c>
      <c r="N152">
        <v>1158</v>
      </c>
      <c r="O152">
        <v>1815</v>
      </c>
      <c r="P152" s="3" t="str" cm="1">
        <f t="array" ref="P152">_xlfn.XLOOKUP(A152&amp;B152,'[1]Daily Sleep'!$A$2:$A$468&amp;'[1]Daily Sleep'!$B$2:$B$468,'[1]Daily Sleep'!$D$2:$D$468,"")</f>
        <v/>
      </c>
      <c r="Q152" t="str">
        <f t="shared" si="4"/>
        <v>Friday</v>
      </c>
      <c r="R152" t="str">
        <f t="shared" si="5"/>
        <v>Weekend</v>
      </c>
    </row>
    <row r="153" spans="1:18" x14ac:dyDescent="0.35">
      <c r="A153">
        <v>3372868164</v>
      </c>
      <c r="B153" s="1">
        <v>42469</v>
      </c>
      <c r="C153">
        <v>8827</v>
      </c>
      <c r="D153">
        <v>6.25</v>
      </c>
      <c r="E153">
        <v>6.25</v>
      </c>
      <c r="F153">
        <v>0</v>
      </c>
      <c r="G153">
        <v>1.7699999809265099</v>
      </c>
      <c r="H153">
        <v>0.479999989271164</v>
      </c>
      <c r="I153">
        <v>4</v>
      </c>
      <c r="J153">
        <v>9.9999997764825804E-3</v>
      </c>
      <c r="K153">
        <v>21</v>
      </c>
      <c r="L153">
        <v>10</v>
      </c>
      <c r="M153">
        <v>346</v>
      </c>
      <c r="N153">
        <v>1063</v>
      </c>
      <c r="O153">
        <v>2062</v>
      </c>
      <c r="P153" s="3" t="str" cm="1">
        <f t="array" ref="P153">_xlfn.XLOOKUP(A153&amp;B153,'[1]Daily Sleep'!$A$2:$A$468&amp;'[1]Daily Sleep'!$B$2:$B$468,'[1]Daily Sleep'!$D$2:$D$468,"")</f>
        <v/>
      </c>
      <c r="Q153" t="str">
        <f t="shared" si="4"/>
        <v>Saturday</v>
      </c>
      <c r="R153" t="str">
        <f t="shared" si="5"/>
        <v>Weekday</v>
      </c>
    </row>
    <row r="154" spans="1:18" x14ac:dyDescent="0.35">
      <c r="A154">
        <v>3372868164</v>
      </c>
      <c r="B154" s="1">
        <v>42470</v>
      </c>
      <c r="C154">
        <v>4662</v>
      </c>
      <c r="D154">
        <v>3.1800000667571999</v>
      </c>
      <c r="E154">
        <v>3.1800000667571999</v>
      </c>
      <c r="F154">
        <v>0</v>
      </c>
      <c r="G154">
        <v>1.03999996185303</v>
      </c>
      <c r="H154">
        <v>0.15000000596046401</v>
      </c>
      <c r="I154">
        <v>1.9900000095367401</v>
      </c>
      <c r="J154">
        <v>0</v>
      </c>
      <c r="K154">
        <v>22</v>
      </c>
      <c r="L154">
        <v>4</v>
      </c>
      <c r="M154">
        <v>152</v>
      </c>
      <c r="N154">
        <v>735</v>
      </c>
      <c r="O154">
        <v>1276</v>
      </c>
      <c r="P154" s="3" t="str" cm="1">
        <f t="array" ref="P154">_xlfn.XLOOKUP(A154&amp;B154,'[1]Daily Sleep'!$A$2:$A$468&amp;'[1]Daily Sleep'!$B$2:$B$468,'[1]Daily Sleep'!$D$2:$D$468,"")</f>
        <v/>
      </c>
      <c r="Q154" t="str">
        <f t="shared" si="4"/>
        <v>Sunday</v>
      </c>
      <c r="R154" t="str">
        <f t="shared" si="5"/>
        <v>Weekend</v>
      </c>
    </row>
    <row r="155" spans="1:18" x14ac:dyDescent="0.35">
      <c r="A155">
        <v>3977333714</v>
      </c>
      <c r="B155" s="1">
        <v>42461</v>
      </c>
      <c r="C155">
        <v>4499</v>
      </c>
      <c r="D155">
        <v>3.0099999904632599</v>
      </c>
      <c r="E155">
        <v>3.0099999904632599</v>
      </c>
      <c r="F155">
        <v>0</v>
      </c>
      <c r="G155">
        <v>0</v>
      </c>
      <c r="H155">
        <v>0</v>
      </c>
      <c r="I155">
        <v>3.0099999904632599</v>
      </c>
      <c r="J155">
        <v>0</v>
      </c>
      <c r="K155">
        <v>0</v>
      </c>
      <c r="L155">
        <v>0</v>
      </c>
      <c r="M155">
        <v>168</v>
      </c>
      <c r="N155">
        <v>842</v>
      </c>
      <c r="O155">
        <v>1288</v>
      </c>
      <c r="P155" s="3" cm="1">
        <f t="array" ref="P155">_xlfn.XLOOKUP(A155&amp;B155,'[1]Daily Sleep'!$A$2:$A$468&amp;'[1]Daily Sleep'!$B$2:$B$468,'[1]Daily Sleep'!$D$2:$D$468,"")</f>
        <v>4.95</v>
      </c>
      <c r="Q155" t="str">
        <f t="shared" si="4"/>
        <v>Friday</v>
      </c>
      <c r="R155" t="str">
        <f t="shared" si="5"/>
        <v>Weekend</v>
      </c>
    </row>
    <row r="156" spans="1:18" x14ac:dyDescent="0.35">
      <c r="A156">
        <v>3977333714</v>
      </c>
      <c r="B156" s="1">
        <v>42462</v>
      </c>
      <c r="C156">
        <v>7618</v>
      </c>
      <c r="D156">
        <v>5.0999999046325701</v>
      </c>
      <c r="E156">
        <v>5.0999999046325701</v>
      </c>
      <c r="F156">
        <v>0</v>
      </c>
      <c r="G156">
        <v>0</v>
      </c>
      <c r="H156">
        <v>0.18000000715255701</v>
      </c>
      <c r="I156">
        <v>4.9099998474121103</v>
      </c>
      <c r="J156">
        <v>0</v>
      </c>
      <c r="K156">
        <v>0</v>
      </c>
      <c r="L156">
        <v>6</v>
      </c>
      <c r="M156">
        <v>302</v>
      </c>
      <c r="N156">
        <v>842</v>
      </c>
      <c r="O156">
        <v>1490</v>
      </c>
      <c r="P156" s="3" cm="1">
        <f t="array" ref="P156">_xlfn.XLOOKUP(A156&amp;B156,'[1]Daily Sleep'!$A$2:$A$468&amp;'[1]Daily Sleep'!$B$2:$B$468,'[1]Daily Sleep'!$D$2:$D$468,"")</f>
        <v>3.3166666666666669</v>
      </c>
      <c r="Q156" t="str">
        <f t="shared" si="4"/>
        <v>Saturday</v>
      </c>
      <c r="R156" t="str">
        <f t="shared" si="5"/>
        <v>Weekday</v>
      </c>
    </row>
    <row r="157" spans="1:18" x14ac:dyDescent="0.35">
      <c r="A157">
        <v>3977333714</v>
      </c>
      <c r="B157" s="1">
        <v>42463</v>
      </c>
      <c r="C157">
        <v>11508</v>
      </c>
      <c r="D157">
        <v>7.6999998092651403</v>
      </c>
      <c r="E157">
        <v>7.6999998092651403</v>
      </c>
      <c r="F157">
        <v>0</v>
      </c>
      <c r="G157">
        <v>2.1700000762939502</v>
      </c>
      <c r="H157">
        <v>0.83999997377395597</v>
      </c>
      <c r="I157">
        <v>4.6900000572204599</v>
      </c>
      <c r="J157">
        <v>0</v>
      </c>
      <c r="K157">
        <v>29</v>
      </c>
      <c r="L157">
        <v>22</v>
      </c>
      <c r="M157">
        <v>282</v>
      </c>
      <c r="N157">
        <v>748</v>
      </c>
      <c r="O157">
        <v>1630</v>
      </c>
      <c r="P157" s="3" cm="1">
        <f t="array" ref="P157">_xlfn.XLOOKUP(A157&amp;B157,'[1]Daily Sleep'!$A$2:$A$468&amp;'[1]Daily Sleep'!$B$2:$B$468,'[1]Daily Sleep'!$D$2:$D$468,"")</f>
        <v>3.7</v>
      </c>
      <c r="Q157" t="str">
        <f t="shared" si="4"/>
        <v>Sunday</v>
      </c>
      <c r="R157" t="str">
        <f t="shared" si="5"/>
        <v>Weekday</v>
      </c>
    </row>
    <row r="158" spans="1:18" x14ac:dyDescent="0.35">
      <c r="A158">
        <v>3977333714</v>
      </c>
      <c r="B158" s="1">
        <v>42464</v>
      </c>
      <c r="C158">
        <v>11943</v>
      </c>
      <c r="D158">
        <v>7.9899997711181596</v>
      </c>
      <c r="E158">
        <v>7.9899997711181596</v>
      </c>
      <c r="F158">
        <v>0</v>
      </c>
      <c r="G158">
        <v>1.0299999713897701</v>
      </c>
      <c r="H158">
        <v>2.0099999904632599</v>
      </c>
      <c r="I158">
        <v>4.9499998092651403</v>
      </c>
      <c r="J158">
        <v>0</v>
      </c>
      <c r="K158">
        <v>16</v>
      </c>
      <c r="L158">
        <v>43</v>
      </c>
      <c r="M158">
        <v>297</v>
      </c>
      <c r="N158">
        <v>710</v>
      </c>
      <c r="O158">
        <v>1648</v>
      </c>
      <c r="P158" s="3" cm="1">
        <f t="array" ref="P158">_xlfn.XLOOKUP(A158&amp;B158,'[1]Daily Sleep'!$A$2:$A$468&amp;'[1]Daily Sleep'!$B$2:$B$468,'[1]Daily Sleep'!$D$2:$D$468,"")</f>
        <v>3.4166666666666665</v>
      </c>
      <c r="Q158" t="str">
        <f t="shared" si="4"/>
        <v>Monday</v>
      </c>
      <c r="R158" t="str">
        <f t="shared" si="5"/>
        <v>Weekday</v>
      </c>
    </row>
    <row r="159" spans="1:18" x14ac:dyDescent="0.35">
      <c r="A159">
        <v>3977333714</v>
      </c>
      <c r="B159" s="1">
        <v>42465</v>
      </c>
      <c r="C159">
        <v>12303</v>
      </c>
      <c r="D159">
        <v>8.2299995422363299</v>
      </c>
      <c r="E159">
        <v>8.2299995422363299</v>
      </c>
      <c r="F159">
        <v>0</v>
      </c>
      <c r="G159">
        <v>1.71000003814697</v>
      </c>
      <c r="H159">
        <v>1.3500000238418599</v>
      </c>
      <c r="I159">
        <v>5.1700000762939498</v>
      </c>
      <c r="J159">
        <v>0</v>
      </c>
      <c r="K159">
        <v>26</v>
      </c>
      <c r="L159">
        <v>32</v>
      </c>
      <c r="M159">
        <v>291</v>
      </c>
      <c r="N159">
        <v>605</v>
      </c>
      <c r="O159">
        <v>1649</v>
      </c>
      <c r="P159" s="3" cm="1">
        <f t="array" ref="P159">_xlfn.XLOOKUP(A159&amp;B159,'[1]Daily Sleep'!$A$2:$A$468&amp;'[1]Daily Sleep'!$B$2:$B$468,'[1]Daily Sleep'!$D$2:$D$468,"")</f>
        <v>6.3</v>
      </c>
      <c r="Q159" t="str">
        <f t="shared" si="4"/>
        <v>Tuesday</v>
      </c>
      <c r="R159" t="str">
        <f t="shared" si="5"/>
        <v>Weekday</v>
      </c>
    </row>
    <row r="160" spans="1:18" x14ac:dyDescent="0.35">
      <c r="A160">
        <v>3977333714</v>
      </c>
      <c r="B160" s="1">
        <v>42466</v>
      </c>
      <c r="C160">
        <v>15425</v>
      </c>
      <c r="D160">
        <v>10.319999694824199</v>
      </c>
      <c r="E160">
        <v>10.319999694824199</v>
      </c>
      <c r="F160">
        <v>0</v>
      </c>
      <c r="G160">
        <v>1.62000000476837</v>
      </c>
      <c r="H160">
        <v>1.8200000524520901</v>
      </c>
      <c r="I160">
        <v>6.8699998855590803</v>
      </c>
      <c r="J160">
        <v>0</v>
      </c>
      <c r="K160">
        <v>24</v>
      </c>
      <c r="L160">
        <v>45</v>
      </c>
      <c r="M160">
        <v>331</v>
      </c>
      <c r="N160">
        <v>614</v>
      </c>
      <c r="O160">
        <v>1783</v>
      </c>
      <c r="P160" s="3" cm="1">
        <f t="array" ref="P160">_xlfn.XLOOKUP(A160&amp;B160,'[1]Daily Sleep'!$A$2:$A$468&amp;'[1]Daily Sleep'!$B$2:$B$468,'[1]Daily Sleep'!$D$2:$D$468,"")</f>
        <v>4.9333333333333336</v>
      </c>
      <c r="Q160" t="str">
        <f t="shared" si="4"/>
        <v>Wednesday</v>
      </c>
      <c r="R160" t="str">
        <f t="shared" si="5"/>
        <v>Weekday</v>
      </c>
    </row>
    <row r="161" spans="1:18" x14ac:dyDescent="0.35">
      <c r="A161">
        <v>3977333714</v>
      </c>
      <c r="B161" s="1">
        <v>42467</v>
      </c>
      <c r="C161">
        <v>8422</v>
      </c>
      <c r="D161">
        <v>5.6300001144409197</v>
      </c>
      <c r="E161">
        <v>5.6300001144409197</v>
      </c>
      <c r="F161">
        <v>0</v>
      </c>
      <c r="G161">
        <v>0</v>
      </c>
      <c r="H161">
        <v>3.5999999046325701</v>
      </c>
      <c r="I161">
        <v>2.03999996185303</v>
      </c>
      <c r="J161">
        <v>0</v>
      </c>
      <c r="K161">
        <v>0</v>
      </c>
      <c r="L161">
        <v>81</v>
      </c>
      <c r="M161">
        <v>139</v>
      </c>
      <c r="N161">
        <v>815</v>
      </c>
      <c r="O161">
        <v>1431</v>
      </c>
      <c r="P161" s="3" cm="1">
        <f t="array" ref="P161">_xlfn.XLOOKUP(A161&amp;B161,'[1]Daily Sleep'!$A$2:$A$468&amp;'[1]Daily Sleep'!$B$2:$B$468,'[1]Daily Sleep'!$D$2:$D$468,"")</f>
        <v>3.6833333333333331</v>
      </c>
      <c r="Q161" t="str">
        <f t="shared" si="4"/>
        <v>Thursday</v>
      </c>
      <c r="R161" t="str">
        <f t="shared" si="5"/>
        <v>Weekend</v>
      </c>
    </row>
    <row r="162" spans="1:18" x14ac:dyDescent="0.35">
      <c r="A162">
        <v>3977333714</v>
      </c>
      <c r="B162" s="1">
        <v>42468</v>
      </c>
      <c r="C162">
        <v>10226</v>
      </c>
      <c r="D162">
        <v>6.8400001525878897</v>
      </c>
      <c r="E162">
        <v>6.8400001525878897</v>
      </c>
      <c r="F162">
        <v>0</v>
      </c>
      <c r="G162">
        <v>0</v>
      </c>
      <c r="H162">
        <v>4.4400000572204599</v>
      </c>
      <c r="I162">
        <v>2.4000000953674299</v>
      </c>
      <c r="J162">
        <v>0</v>
      </c>
      <c r="K162">
        <v>0</v>
      </c>
      <c r="L162">
        <v>101</v>
      </c>
      <c r="M162">
        <v>174</v>
      </c>
      <c r="N162">
        <v>685</v>
      </c>
      <c r="O162">
        <v>1524</v>
      </c>
      <c r="P162" s="3" cm="1">
        <f t="array" ref="P162">_xlfn.XLOOKUP(A162&amp;B162,'[1]Daily Sleep'!$A$2:$A$468&amp;'[1]Daily Sleep'!$B$2:$B$468,'[1]Daily Sleep'!$D$2:$D$468,"")</f>
        <v>5.083333333333333</v>
      </c>
      <c r="Q162" t="str">
        <f t="shared" si="4"/>
        <v>Friday</v>
      </c>
      <c r="R162" t="str">
        <f t="shared" si="5"/>
        <v>Weekend</v>
      </c>
    </row>
    <row r="163" spans="1:18" x14ac:dyDescent="0.35">
      <c r="A163">
        <v>3977333714</v>
      </c>
      <c r="B163" s="1">
        <v>42469</v>
      </c>
      <c r="C163">
        <v>14583</v>
      </c>
      <c r="D163">
        <v>9.7600002288818395</v>
      </c>
      <c r="E163">
        <v>9.7600002288818395</v>
      </c>
      <c r="F163">
        <v>0</v>
      </c>
      <c r="G163">
        <v>2.4800000190734899</v>
      </c>
      <c r="H163">
        <v>1.7400000095367401</v>
      </c>
      <c r="I163">
        <v>5.5300002098083496</v>
      </c>
      <c r="J163">
        <v>0</v>
      </c>
      <c r="K163">
        <v>35</v>
      </c>
      <c r="L163">
        <v>36</v>
      </c>
      <c r="M163">
        <v>254</v>
      </c>
      <c r="N163">
        <v>697</v>
      </c>
      <c r="O163">
        <v>1697</v>
      </c>
      <c r="P163" s="3" cm="1">
        <f t="array" ref="P163">_xlfn.XLOOKUP(A163&amp;B163,'[1]Daily Sleep'!$A$2:$A$468&amp;'[1]Daily Sleep'!$B$2:$B$468,'[1]Daily Sleep'!$D$2:$D$468,"")</f>
        <v>4.55</v>
      </c>
      <c r="Q163" t="str">
        <f t="shared" si="4"/>
        <v>Saturday</v>
      </c>
      <c r="R163" t="str">
        <f t="shared" si="5"/>
        <v>Weekday</v>
      </c>
    </row>
    <row r="164" spans="1:18" x14ac:dyDescent="0.35">
      <c r="A164">
        <v>3977333714</v>
      </c>
      <c r="B164" s="1">
        <v>42470</v>
      </c>
      <c r="C164">
        <v>3573</v>
      </c>
      <c r="D164">
        <v>2.3900001049041699</v>
      </c>
      <c r="E164">
        <v>2.3900001049041699</v>
      </c>
      <c r="F164">
        <v>0</v>
      </c>
      <c r="G164">
        <v>0.93999999761581399</v>
      </c>
      <c r="H164">
        <v>0.40999999642372098</v>
      </c>
      <c r="I164">
        <v>0.97000002861022905</v>
      </c>
      <c r="J164">
        <v>0</v>
      </c>
      <c r="K164">
        <v>15</v>
      </c>
      <c r="L164">
        <v>8</v>
      </c>
      <c r="M164">
        <v>99</v>
      </c>
      <c r="N164">
        <v>866</v>
      </c>
      <c r="O164">
        <v>1232</v>
      </c>
      <c r="P164" s="3" cm="1">
        <f t="array" ref="P164">_xlfn.XLOOKUP(A164&amp;B164,'[1]Daily Sleep'!$A$2:$A$468&amp;'[1]Daily Sleep'!$B$2:$B$468,'[1]Daily Sleep'!$D$2:$D$468,"")</f>
        <v>4.8833333333333337</v>
      </c>
      <c r="Q164" t="str">
        <f t="shared" si="4"/>
        <v>Sunday</v>
      </c>
      <c r="R164" t="str">
        <f t="shared" si="5"/>
        <v>Weekday</v>
      </c>
    </row>
    <row r="165" spans="1:18" x14ac:dyDescent="0.35">
      <c r="A165">
        <v>3977333714</v>
      </c>
      <c r="B165" s="1">
        <v>42471</v>
      </c>
      <c r="C165">
        <v>3108</v>
      </c>
      <c r="D165">
        <v>2.1400001049041699</v>
      </c>
      <c r="E165">
        <v>2.1400001049041699</v>
      </c>
      <c r="F165">
        <v>0</v>
      </c>
      <c r="G165">
        <v>7.0000000298023196E-2</v>
      </c>
      <c r="H165">
        <v>3.9999999105930301E-2</v>
      </c>
      <c r="I165">
        <v>1.96000003814697</v>
      </c>
      <c r="J165">
        <v>0</v>
      </c>
      <c r="K165">
        <v>1</v>
      </c>
      <c r="L165">
        <v>1</v>
      </c>
      <c r="M165">
        <v>129</v>
      </c>
      <c r="N165">
        <v>894</v>
      </c>
      <c r="O165">
        <v>1223</v>
      </c>
      <c r="P165" s="3" cm="1">
        <f t="array" ref="P165">_xlfn.XLOOKUP(A165&amp;B165,'[1]Daily Sleep'!$A$2:$A$468&amp;'[1]Daily Sleep'!$B$2:$B$468,'[1]Daily Sleep'!$D$2:$D$468,"")</f>
        <v>4.7</v>
      </c>
      <c r="Q165" t="str">
        <f t="shared" si="4"/>
        <v>Monday</v>
      </c>
      <c r="R165" t="str">
        <f t="shared" si="5"/>
        <v>Weekday</v>
      </c>
    </row>
    <row r="166" spans="1:18" x14ac:dyDescent="0.35">
      <c r="A166">
        <v>3977333714</v>
      </c>
      <c r="B166" s="1">
        <v>42472</v>
      </c>
      <c r="C166">
        <v>759</v>
      </c>
      <c r="D166">
        <v>0.56999999284744296</v>
      </c>
      <c r="E166">
        <v>0.56999999284744296</v>
      </c>
      <c r="F166">
        <v>0</v>
      </c>
      <c r="G166">
        <v>0</v>
      </c>
      <c r="H166">
        <v>0</v>
      </c>
      <c r="I166">
        <v>0.56999999284744296</v>
      </c>
      <c r="J166">
        <v>0</v>
      </c>
      <c r="K166">
        <v>0</v>
      </c>
      <c r="L166">
        <v>0</v>
      </c>
      <c r="M166">
        <v>17</v>
      </c>
      <c r="N166">
        <v>187</v>
      </c>
      <c r="O166">
        <v>182</v>
      </c>
      <c r="P166" s="3" t="str" cm="1">
        <f t="array" ref="P166">_xlfn.XLOOKUP(A166&amp;B166,'[1]Daily Sleep'!$A$2:$A$468&amp;'[1]Daily Sleep'!$B$2:$B$468,'[1]Daily Sleep'!$D$2:$D$468,"")</f>
        <v/>
      </c>
      <c r="Q166" t="str">
        <f t="shared" si="4"/>
        <v>Tuesday</v>
      </c>
      <c r="R166" t="str">
        <f t="shared" si="5"/>
        <v>Weekend</v>
      </c>
    </row>
    <row r="167" spans="1:18" x14ac:dyDescent="0.35">
      <c r="A167">
        <v>4020332650</v>
      </c>
      <c r="B167" s="1">
        <v>42441</v>
      </c>
      <c r="C167">
        <v>5543</v>
      </c>
      <c r="D167">
        <v>3.9700000286102299</v>
      </c>
      <c r="E167">
        <v>3.9700000286102299</v>
      </c>
      <c r="F167">
        <v>0</v>
      </c>
      <c r="G167">
        <v>0</v>
      </c>
      <c r="H167">
        <v>0</v>
      </c>
      <c r="I167">
        <v>3.96000003814697</v>
      </c>
      <c r="J167">
        <v>9.9999997764825804E-3</v>
      </c>
      <c r="K167">
        <v>0</v>
      </c>
      <c r="L167">
        <v>0</v>
      </c>
      <c r="M167">
        <v>254</v>
      </c>
      <c r="N167">
        <v>757</v>
      </c>
      <c r="O167">
        <v>2990</v>
      </c>
      <c r="P167" s="3" cm="1">
        <f t="array" ref="P167">_xlfn.XLOOKUP(A167&amp;B167,'[1]Daily Sleep'!$A$2:$A$468&amp;'[1]Daily Sleep'!$B$2:$B$468,'[1]Daily Sleep'!$D$2:$D$468,"")</f>
        <v>6.4</v>
      </c>
      <c r="Q167" t="str">
        <f t="shared" si="4"/>
        <v>Saturday</v>
      </c>
      <c r="R167" t="str">
        <f t="shared" si="5"/>
        <v>Weekday</v>
      </c>
    </row>
    <row r="168" spans="1:18" x14ac:dyDescent="0.35">
      <c r="A168">
        <v>4020332650</v>
      </c>
      <c r="B168" s="1">
        <v>42442</v>
      </c>
      <c r="C168">
        <v>3226</v>
      </c>
      <c r="D168">
        <v>2.3099999427795401</v>
      </c>
      <c r="E168">
        <v>2.3099999427795401</v>
      </c>
      <c r="F168">
        <v>0</v>
      </c>
      <c r="G168">
        <v>0</v>
      </c>
      <c r="H168">
        <v>0</v>
      </c>
      <c r="I168">
        <v>2.2799999713897701</v>
      </c>
      <c r="J168">
        <v>0</v>
      </c>
      <c r="K168">
        <v>0</v>
      </c>
      <c r="L168">
        <v>0</v>
      </c>
      <c r="M168">
        <v>136</v>
      </c>
      <c r="N168">
        <v>771</v>
      </c>
      <c r="O168">
        <v>2480</v>
      </c>
      <c r="P168" s="3" cm="1">
        <f t="array" ref="P168">_xlfn.XLOOKUP(A168&amp;B168,'[1]Daily Sleep'!$A$2:$A$468&amp;'[1]Daily Sleep'!$B$2:$B$468,'[1]Daily Sleep'!$D$2:$D$468,"")</f>
        <v>8.4166666666666661</v>
      </c>
      <c r="Q168" t="str">
        <f t="shared" si="4"/>
        <v>Sunday</v>
      </c>
      <c r="R168" t="str">
        <f t="shared" si="5"/>
        <v>Weekday</v>
      </c>
    </row>
    <row r="169" spans="1:18" x14ac:dyDescent="0.35">
      <c r="A169">
        <v>4020332650</v>
      </c>
      <c r="B169" s="1">
        <v>42443</v>
      </c>
      <c r="C169">
        <v>3023</v>
      </c>
      <c r="D169">
        <v>2.1700000762939502</v>
      </c>
      <c r="E169">
        <v>2.1700000762939502</v>
      </c>
      <c r="F169">
        <v>0</v>
      </c>
      <c r="G169">
        <v>0</v>
      </c>
      <c r="H169">
        <v>0</v>
      </c>
      <c r="I169">
        <v>2.1400001049041699</v>
      </c>
      <c r="J169">
        <v>0</v>
      </c>
      <c r="K169">
        <v>0</v>
      </c>
      <c r="L169">
        <v>0</v>
      </c>
      <c r="M169">
        <v>145</v>
      </c>
      <c r="N169">
        <v>1005</v>
      </c>
      <c r="O169">
        <v>2570</v>
      </c>
      <c r="P169" s="3" cm="1">
        <f t="array" ref="P169">_xlfn.XLOOKUP(A169&amp;B169,'[1]Daily Sleep'!$A$2:$A$468&amp;'[1]Daily Sleep'!$B$2:$B$468,'[1]Daily Sleep'!$D$2:$D$468,"")</f>
        <v>4.416666666666667</v>
      </c>
      <c r="Q169" t="str">
        <f t="shared" si="4"/>
        <v>Monday</v>
      </c>
      <c r="R169" t="str">
        <f t="shared" si="5"/>
        <v>Weekday</v>
      </c>
    </row>
    <row r="170" spans="1:18" x14ac:dyDescent="0.35">
      <c r="A170">
        <v>4020332650</v>
      </c>
      <c r="B170" s="1">
        <v>42444</v>
      </c>
      <c r="C170">
        <v>5906</v>
      </c>
      <c r="D170">
        <v>4.2300000190734899</v>
      </c>
      <c r="E170">
        <v>4.2300000190734899</v>
      </c>
      <c r="F170">
        <v>0</v>
      </c>
      <c r="G170">
        <v>0</v>
      </c>
      <c r="H170">
        <v>0.15999999642372101</v>
      </c>
      <c r="I170">
        <v>4.03999996185303</v>
      </c>
      <c r="J170">
        <v>0</v>
      </c>
      <c r="K170">
        <v>0</v>
      </c>
      <c r="L170">
        <v>10</v>
      </c>
      <c r="M170">
        <v>215</v>
      </c>
      <c r="N170">
        <v>874</v>
      </c>
      <c r="O170">
        <v>3016</v>
      </c>
      <c r="P170" s="3" cm="1">
        <f t="array" ref="P170">_xlfn.XLOOKUP(A170&amp;B170,'[1]Daily Sleep'!$A$2:$A$468&amp;'[1]Daily Sleep'!$B$2:$B$468,'[1]Daily Sleep'!$D$2:$D$468,"")</f>
        <v>5.5166666666666666</v>
      </c>
      <c r="Q170" t="str">
        <f t="shared" si="4"/>
        <v>Tuesday</v>
      </c>
      <c r="R170" t="str">
        <f t="shared" si="5"/>
        <v>Weekday</v>
      </c>
    </row>
    <row r="171" spans="1:18" x14ac:dyDescent="0.35">
      <c r="A171">
        <v>4020332650</v>
      </c>
      <c r="B171" s="1">
        <v>42445</v>
      </c>
      <c r="C171">
        <v>12483</v>
      </c>
      <c r="D171">
        <v>8.9899997711181605</v>
      </c>
      <c r="E171">
        <v>8.9899997711181605</v>
      </c>
      <c r="F171">
        <v>0</v>
      </c>
      <c r="G171">
        <v>1.45000004768372</v>
      </c>
      <c r="H171">
        <v>0.56999999284744296</v>
      </c>
      <c r="I171">
        <v>6.9000000953674299</v>
      </c>
      <c r="J171">
        <v>0</v>
      </c>
      <c r="K171">
        <v>25</v>
      </c>
      <c r="L171">
        <v>14</v>
      </c>
      <c r="M171">
        <v>309</v>
      </c>
      <c r="N171">
        <v>599</v>
      </c>
      <c r="O171">
        <v>3830</v>
      </c>
      <c r="P171" s="3" cm="1">
        <f t="array" ref="P171">_xlfn.XLOOKUP(A171&amp;B171,'[1]Daily Sleep'!$A$2:$A$468&amp;'[1]Daily Sleep'!$B$2:$B$468,'[1]Daily Sleep'!$D$2:$D$468,"")</f>
        <v>7.65</v>
      </c>
      <c r="Q171" t="str">
        <f t="shared" si="4"/>
        <v>Wednesday</v>
      </c>
      <c r="R171" t="str">
        <f t="shared" si="5"/>
        <v>Weekday</v>
      </c>
    </row>
    <row r="172" spans="1:18" x14ac:dyDescent="0.35">
      <c r="A172">
        <v>4020332650</v>
      </c>
      <c r="B172" s="1">
        <v>42446</v>
      </c>
      <c r="C172">
        <v>8940</v>
      </c>
      <c r="D172">
        <v>6.4099998474121103</v>
      </c>
      <c r="E172">
        <v>6.4099998474121103</v>
      </c>
      <c r="F172">
        <v>0</v>
      </c>
      <c r="G172">
        <v>0</v>
      </c>
      <c r="H172">
        <v>0</v>
      </c>
      <c r="I172">
        <v>0.61000001430511497</v>
      </c>
      <c r="J172">
        <v>3.9999999105930301E-2</v>
      </c>
      <c r="K172">
        <v>0</v>
      </c>
      <c r="L172">
        <v>0</v>
      </c>
      <c r="M172">
        <v>47</v>
      </c>
      <c r="N172">
        <v>986</v>
      </c>
      <c r="O172">
        <v>3706</v>
      </c>
      <c r="P172" s="3" cm="1">
        <f t="array" ref="P172">_xlfn.XLOOKUP(A172&amp;B172,'[1]Daily Sleep'!$A$2:$A$468&amp;'[1]Daily Sleep'!$B$2:$B$468,'[1]Daily Sleep'!$D$2:$D$468,"")</f>
        <v>6.2333333333333334</v>
      </c>
      <c r="Q172" t="str">
        <f t="shared" si="4"/>
        <v>Thursday</v>
      </c>
      <c r="R172" t="str">
        <f t="shared" si="5"/>
        <v>Weekend</v>
      </c>
    </row>
    <row r="173" spans="1:18" x14ac:dyDescent="0.35">
      <c r="A173">
        <v>4020332650</v>
      </c>
      <c r="B173" s="1">
        <v>42447</v>
      </c>
      <c r="C173">
        <v>368</v>
      </c>
      <c r="D173">
        <v>0.259999990463257</v>
      </c>
      <c r="E173">
        <v>0.259999990463257</v>
      </c>
      <c r="F173">
        <v>0</v>
      </c>
      <c r="G173">
        <v>0</v>
      </c>
      <c r="H173">
        <v>0</v>
      </c>
      <c r="I173">
        <v>0</v>
      </c>
      <c r="J173">
        <v>0</v>
      </c>
      <c r="K173">
        <v>0</v>
      </c>
      <c r="L173">
        <v>0</v>
      </c>
      <c r="M173">
        <v>0</v>
      </c>
      <c r="N173">
        <v>1440</v>
      </c>
      <c r="O173">
        <v>2024</v>
      </c>
      <c r="P173" s="3" t="str" cm="1">
        <f t="array" ref="P173">_xlfn.XLOOKUP(A173&amp;B173,'[1]Daily Sleep'!$A$2:$A$468&amp;'[1]Daily Sleep'!$B$2:$B$468,'[1]Daily Sleep'!$D$2:$D$468,"")</f>
        <v/>
      </c>
      <c r="Q173" t="str">
        <f t="shared" si="4"/>
        <v>Friday</v>
      </c>
      <c r="R173" t="str">
        <f t="shared" si="5"/>
        <v>Weekend</v>
      </c>
    </row>
    <row r="174" spans="1:18" x14ac:dyDescent="0.35">
      <c r="A174">
        <v>4020332650</v>
      </c>
      <c r="B174" s="1">
        <v>42448</v>
      </c>
      <c r="C174">
        <v>5702</v>
      </c>
      <c r="D174">
        <v>4.0900001525878897</v>
      </c>
      <c r="E174">
        <v>4.0900001525878897</v>
      </c>
      <c r="F174">
        <v>0</v>
      </c>
      <c r="G174">
        <v>0</v>
      </c>
      <c r="H174">
        <v>0</v>
      </c>
      <c r="I174">
        <v>0</v>
      </c>
      <c r="J174">
        <v>0</v>
      </c>
      <c r="K174">
        <v>0</v>
      </c>
      <c r="L174">
        <v>0</v>
      </c>
      <c r="M174">
        <v>0</v>
      </c>
      <c r="N174">
        <v>1440</v>
      </c>
      <c r="O174">
        <v>2980</v>
      </c>
      <c r="P174" s="3" t="str" cm="1">
        <f t="array" ref="P174">_xlfn.XLOOKUP(A174&amp;B174,'[1]Daily Sleep'!$A$2:$A$468&amp;'[1]Daily Sleep'!$B$2:$B$468,'[1]Daily Sleep'!$D$2:$D$468,"")</f>
        <v/>
      </c>
      <c r="Q174" t="str">
        <f t="shared" si="4"/>
        <v>Saturday</v>
      </c>
      <c r="R174" t="str">
        <f t="shared" si="5"/>
        <v>Weekday</v>
      </c>
    </row>
    <row r="175" spans="1:18" x14ac:dyDescent="0.35">
      <c r="A175">
        <v>4020332650</v>
      </c>
      <c r="B175" s="1">
        <v>42449</v>
      </c>
      <c r="C175">
        <v>10330</v>
      </c>
      <c r="D175">
        <v>7.4099998474121103</v>
      </c>
      <c r="E175">
        <v>7.4099998474121103</v>
      </c>
      <c r="F175">
        <v>0</v>
      </c>
      <c r="G175">
        <v>0</v>
      </c>
      <c r="H175">
        <v>0</v>
      </c>
      <c r="I175">
        <v>0</v>
      </c>
      <c r="J175">
        <v>0</v>
      </c>
      <c r="K175">
        <v>0</v>
      </c>
      <c r="L175">
        <v>0</v>
      </c>
      <c r="M175">
        <v>0</v>
      </c>
      <c r="N175">
        <v>1440</v>
      </c>
      <c r="O175">
        <v>3728</v>
      </c>
      <c r="P175" s="3" t="str" cm="1">
        <f t="array" ref="P175">_xlfn.XLOOKUP(A175&amp;B175,'[1]Daily Sleep'!$A$2:$A$468&amp;'[1]Daily Sleep'!$B$2:$B$468,'[1]Daily Sleep'!$D$2:$D$468,"")</f>
        <v/>
      </c>
      <c r="Q175" t="str">
        <f t="shared" si="4"/>
        <v>Sunday</v>
      </c>
      <c r="R175" t="str">
        <f t="shared" si="5"/>
        <v>Weekday</v>
      </c>
    </row>
    <row r="176" spans="1:18" x14ac:dyDescent="0.35">
      <c r="A176">
        <v>4020332650</v>
      </c>
      <c r="B176" s="1">
        <v>42450</v>
      </c>
      <c r="C176">
        <v>8778</v>
      </c>
      <c r="D176">
        <v>6.28999996185303</v>
      </c>
      <c r="E176">
        <v>6.28999996185303</v>
      </c>
      <c r="F176">
        <v>0</v>
      </c>
      <c r="G176">
        <v>0</v>
      </c>
      <c r="H176">
        <v>0</v>
      </c>
      <c r="I176">
        <v>0</v>
      </c>
      <c r="J176">
        <v>0</v>
      </c>
      <c r="K176">
        <v>0</v>
      </c>
      <c r="L176">
        <v>0</v>
      </c>
      <c r="M176">
        <v>0</v>
      </c>
      <c r="N176">
        <v>1440</v>
      </c>
      <c r="O176">
        <v>3348</v>
      </c>
      <c r="P176" s="3" t="str" cm="1">
        <f t="array" ref="P176">_xlfn.XLOOKUP(A176&amp;B176,'[1]Daily Sleep'!$A$2:$A$468&amp;'[1]Daily Sleep'!$B$2:$B$468,'[1]Daily Sleep'!$D$2:$D$468,"")</f>
        <v/>
      </c>
      <c r="Q176" t="str">
        <f t="shared" si="4"/>
        <v>Monday</v>
      </c>
      <c r="R176" t="str">
        <f t="shared" si="5"/>
        <v>Weekday</v>
      </c>
    </row>
    <row r="177" spans="1:18" x14ac:dyDescent="0.35">
      <c r="A177">
        <v>4020332650</v>
      </c>
      <c r="B177" s="1">
        <v>42451</v>
      </c>
      <c r="C177">
        <v>6662</v>
      </c>
      <c r="D177">
        <v>4.7800002098083496</v>
      </c>
      <c r="E177">
        <v>4.7800002098083496</v>
      </c>
      <c r="F177">
        <v>0</v>
      </c>
      <c r="G177">
        <v>0</v>
      </c>
      <c r="H177">
        <v>0</v>
      </c>
      <c r="I177">
        <v>0</v>
      </c>
      <c r="J177">
        <v>0</v>
      </c>
      <c r="K177">
        <v>0</v>
      </c>
      <c r="L177">
        <v>0</v>
      </c>
      <c r="M177">
        <v>0</v>
      </c>
      <c r="N177">
        <v>1440</v>
      </c>
      <c r="O177">
        <v>3162</v>
      </c>
      <c r="P177" s="3" t="str" cm="1">
        <f t="array" ref="P177">_xlfn.XLOOKUP(A177&amp;B177,'[1]Daily Sleep'!$A$2:$A$468&amp;'[1]Daily Sleep'!$B$2:$B$468,'[1]Daily Sleep'!$D$2:$D$468,"")</f>
        <v/>
      </c>
      <c r="Q177" t="str">
        <f t="shared" si="4"/>
        <v>Tuesday</v>
      </c>
      <c r="R177" t="str">
        <f t="shared" si="5"/>
        <v>Weekday</v>
      </c>
    </row>
    <row r="178" spans="1:18" x14ac:dyDescent="0.35">
      <c r="A178">
        <v>4020332650</v>
      </c>
      <c r="B178" s="1">
        <v>42452</v>
      </c>
      <c r="C178">
        <v>6309</v>
      </c>
      <c r="D178">
        <v>4.5199999809265101</v>
      </c>
      <c r="E178">
        <v>4.5199999809265101</v>
      </c>
      <c r="F178">
        <v>0</v>
      </c>
      <c r="G178">
        <v>0</v>
      </c>
      <c r="H178">
        <v>0</v>
      </c>
      <c r="I178">
        <v>0</v>
      </c>
      <c r="J178">
        <v>0</v>
      </c>
      <c r="K178">
        <v>0</v>
      </c>
      <c r="L178">
        <v>0</v>
      </c>
      <c r="M178">
        <v>0</v>
      </c>
      <c r="N178">
        <v>1440</v>
      </c>
      <c r="O178">
        <v>3140</v>
      </c>
      <c r="P178" s="3" t="str" cm="1">
        <f t="array" ref="P178">_xlfn.XLOOKUP(A178&amp;B178,'[1]Daily Sleep'!$A$2:$A$468&amp;'[1]Daily Sleep'!$B$2:$B$468,'[1]Daily Sleep'!$D$2:$D$468,"")</f>
        <v/>
      </c>
      <c r="Q178" t="str">
        <f t="shared" si="4"/>
        <v>Wednesday</v>
      </c>
      <c r="R178" t="str">
        <f t="shared" si="5"/>
        <v>Weekday</v>
      </c>
    </row>
    <row r="179" spans="1:18" x14ac:dyDescent="0.35">
      <c r="A179">
        <v>4020332650</v>
      </c>
      <c r="B179" s="1">
        <v>42453</v>
      </c>
      <c r="C179">
        <v>1951</v>
      </c>
      <c r="D179">
        <v>1.4099999666214</v>
      </c>
      <c r="E179">
        <v>1.4099999666214</v>
      </c>
      <c r="F179">
        <v>0</v>
      </c>
      <c r="G179">
        <v>0</v>
      </c>
      <c r="H179">
        <v>0</v>
      </c>
      <c r="I179">
        <v>0</v>
      </c>
      <c r="J179">
        <v>0</v>
      </c>
      <c r="K179">
        <v>0</v>
      </c>
      <c r="L179">
        <v>0</v>
      </c>
      <c r="M179">
        <v>0</v>
      </c>
      <c r="N179">
        <v>1440</v>
      </c>
      <c r="O179">
        <v>1980</v>
      </c>
      <c r="P179" s="3" t="str" cm="1">
        <f t="array" ref="P179">_xlfn.XLOOKUP(A179&amp;B179,'[1]Daily Sleep'!$A$2:$A$468&amp;'[1]Daily Sleep'!$B$2:$B$468,'[1]Daily Sleep'!$D$2:$D$468,"")</f>
        <v/>
      </c>
      <c r="Q179" t="str">
        <f t="shared" si="4"/>
        <v>Thursday</v>
      </c>
      <c r="R179" t="str">
        <f t="shared" si="5"/>
        <v>Weekend</v>
      </c>
    </row>
    <row r="180" spans="1:18" x14ac:dyDescent="0.35">
      <c r="A180">
        <v>4020332650</v>
      </c>
      <c r="B180" s="1">
        <v>42454</v>
      </c>
      <c r="C180">
        <v>5563</v>
      </c>
      <c r="D180">
        <v>3.9900000095367401</v>
      </c>
      <c r="E180">
        <v>3.9900000095367401</v>
      </c>
      <c r="F180">
        <v>0</v>
      </c>
      <c r="G180">
        <v>0</v>
      </c>
      <c r="H180">
        <v>0</v>
      </c>
      <c r="I180">
        <v>0</v>
      </c>
      <c r="J180">
        <v>0</v>
      </c>
      <c r="K180">
        <v>0</v>
      </c>
      <c r="L180">
        <v>0</v>
      </c>
      <c r="M180">
        <v>0</v>
      </c>
      <c r="N180">
        <v>1440</v>
      </c>
      <c r="O180">
        <v>3681</v>
      </c>
      <c r="P180" s="3" t="str" cm="1">
        <f t="array" ref="P180">_xlfn.XLOOKUP(A180&amp;B180,'[1]Daily Sleep'!$A$2:$A$468&amp;'[1]Daily Sleep'!$B$2:$B$468,'[1]Daily Sleep'!$D$2:$D$468,"")</f>
        <v/>
      </c>
      <c r="Q180" t="str">
        <f t="shared" si="4"/>
        <v>Friday</v>
      </c>
      <c r="R180" t="str">
        <f t="shared" si="5"/>
        <v>Weekend</v>
      </c>
    </row>
    <row r="181" spans="1:18" x14ac:dyDescent="0.35">
      <c r="A181">
        <v>4020332650</v>
      </c>
      <c r="B181" s="1">
        <v>42455</v>
      </c>
      <c r="C181">
        <v>4370</v>
      </c>
      <c r="D181">
        <v>3.1300001144409202</v>
      </c>
      <c r="E181">
        <v>3.1300001144409202</v>
      </c>
      <c r="F181">
        <v>0</v>
      </c>
      <c r="G181">
        <v>0</v>
      </c>
      <c r="H181">
        <v>0</v>
      </c>
      <c r="I181">
        <v>0</v>
      </c>
      <c r="J181">
        <v>0</v>
      </c>
      <c r="K181">
        <v>0</v>
      </c>
      <c r="L181">
        <v>0</v>
      </c>
      <c r="M181">
        <v>0</v>
      </c>
      <c r="N181">
        <v>1440</v>
      </c>
      <c r="O181">
        <v>3444</v>
      </c>
      <c r="P181" s="3" t="str" cm="1">
        <f t="array" ref="P181">_xlfn.XLOOKUP(A181&amp;B181,'[1]Daily Sleep'!$A$2:$A$468&amp;'[1]Daily Sleep'!$B$2:$B$468,'[1]Daily Sleep'!$D$2:$D$468,"")</f>
        <v/>
      </c>
      <c r="Q181" t="str">
        <f t="shared" si="4"/>
        <v>Saturday</v>
      </c>
      <c r="R181" t="str">
        <f t="shared" si="5"/>
        <v>Weekday</v>
      </c>
    </row>
    <row r="182" spans="1:18" x14ac:dyDescent="0.35">
      <c r="A182">
        <v>4020332650</v>
      </c>
      <c r="B182" s="1">
        <v>42456</v>
      </c>
      <c r="C182">
        <v>7144</v>
      </c>
      <c r="D182">
        <v>5.1199998855590803</v>
      </c>
      <c r="E182">
        <v>5.1199998855590803</v>
      </c>
      <c r="F182">
        <v>0</v>
      </c>
      <c r="G182">
        <v>0</v>
      </c>
      <c r="H182">
        <v>0</v>
      </c>
      <c r="I182">
        <v>0</v>
      </c>
      <c r="J182">
        <v>0</v>
      </c>
      <c r="K182">
        <v>0</v>
      </c>
      <c r="L182">
        <v>0</v>
      </c>
      <c r="M182">
        <v>0</v>
      </c>
      <c r="N182">
        <v>1440</v>
      </c>
      <c r="O182">
        <v>3510</v>
      </c>
      <c r="P182" s="3" t="str" cm="1">
        <f t="array" ref="P182">_xlfn.XLOOKUP(A182&amp;B182,'[1]Daily Sleep'!$A$2:$A$468&amp;'[1]Daily Sleep'!$B$2:$B$468,'[1]Daily Sleep'!$D$2:$D$468,"")</f>
        <v/>
      </c>
      <c r="Q182" t="str">
        <f t="shared" si="4"/>
        <v>Sunday</v>
      </c>
      <c r="R182" t="str">
        <f t="shared" si="5"/>
        <v>Weekday</v>
      </c>
    </row>
    <row r="183" spans="1:18" x14ac:dyDescent="0.35">
      <c r="A183">
        <v>4020332650</v>
      </c>
      <c r="B183" s="1">
        <v>42457</v>
      </c>
      <c r="C183">
        <v>2106</v>
      </c>
      <c r="D183">
        <v>1.5099999904632599</v>
      </c>
      <c r="E183">
        <v>1.5099999904632599</v>
      </c>
      <c r="F183">
        <v>0</v>
      </c>
      <c r="G183">
        <v>1.9999999552965199E-2</v>
      </c>
      <c r="H183">
        <v>5.0000000745058101E-2</v>
      </c>
      <c r="I183">
        <v>0.20999999344348899</v>
      </c>
      <c r="J183">
        <v>0</v>
      </c>
      <c r="K183">
        <v>31</v>
      </c>
      <c r="L183">
        <v>45</v>
      </c>
      <c r="M183">
        <v>75</v>
      </c>
      <c r="N183">
        <v>1289</v>
      </c>
      <c r="O183">
        <v>4010</v>
      </c>
      <c r="P183" s="3" t="str" cm="1">
        <f t="array" ref="P183">_xlfn.XLOOKUP(A183&amp;B183,'[1]Daily Sleep'!$A$2:$A$468&amp;'[1]Daily Sleep'!$B$2:$B$468,'[1]Daily Sleep'!$D$2:$D$468,"")</f>
        <v/>
      </c>
      <c r="Q183" t="str">
        <f t="shared" si="4"/>
        <v>Monday</v>
      </c>
      <c r="R183" t="str">
        <f t="shared" si="5"/>
        <v>Weekday</v>
      </c>
    </row>
    <row r="184" spans="1:18" x14ac:dyDescent="0.35">
      <c r="A184">
        <v>4020332650</v>
      </c>
      <c r="B184" s="1">
        <v>42458</v>
      </c>
      <c r="C184">
        <v>4152</v>
      </c>
      <c r="D184">
        <v>2.9800000190734899</v>
      </c>
      <c r="E184">
        <v>2.9800000190734899</v>
      </c>
      <c r="F184">
        <v>0</v>
      </c>
      <c r="G184">
        <v>0</v>
      </c>
      <c r="H184">
        <v>0</v>
      </c>
      <c r="I184">
        <v>2.96000003814697</v>
      </c>
      <c r="J184">
        <v>0</v>
      </c>
      <c r="K184">
        <v>0</v>
      </c>
      <c r="L184">
        <v>0</v>
      </c>
      <c r="M184">
        <v>187</v>
      </c>
      <c r="N184">
        <v>1253</v>
      </c>
      <c r="O184">
        <v>2976</v>
      </c>
      <c r="P184" s="3" t="str" cm="1">
        <f t="array" ref="P184">_xlfn.XLOOKUP(A184&amp;B184,'[1]Daily Sleep'!$A$2:$A$468&amp;'[1]Daily Sleep'!$B$2:$B$468,'[1]Daily Sleep'!$D$2:$D$468,"")</f>
        <v/>
      </c>
      <c r="Q184" t="str">
        <f t="shared" si="4"/>
        <v>Tuesday</v>
      </c>
      <c r="R184" t="str">
        <f t="shared" si="5"/>
        <v>Weekday</v>
      </c>
    </row>
    <row r="185" spans="1:18" x14ac:dyDescent="0.35">
      <c r="A185">
        <v>4020332650</v>
      </c>
      <c r="B185" s="1">
        <v>42459</v>
      </c>
      <c r="C185">
        <v>5400</v>
      </c>
      <c r="D185">
        <v>3.8699998855590798</v>
      </c>
      <c r="E185">
        <v>3.8699998855590798</v>
      </c>
      <c r="F185">
        <v>0</v>
      </c>
      <c r="G185">
        <v>0</v>
      </c>
      <c r="H185">
        <v>0</v>
      </c>
      <c r="I185">
        <v>3.8499999046325701</v>
      </c>
      <c r="J185">
        <v>0</v>
      </c>
      <c r="K185">
        <v>0</v>
      </c>
      <c r="L185">
        <v>0</v>
      </c>
      <c r="M185">
        <v>258</v>
      </c>
      <c r="N185">
        <v>795</v>
      </c>
      <c r="O185">
        <v>3418</v>
      </c>
      <c r="P185" s="3" cm="1">
        <f t="array" ref="P185">_xlfn.XLOOKUP(A185&amp;B185,'[1]Daily Sleep'!$A$2:$A$468&amp;'[1]Daily Sleep'!$B$2:$B$468,'[1]Daily Sleep'!$D$2:$D$468,"")</f>
        <v>6.1</v>
      </c>
      <c r="Q185" t="str">
        <f t="shared" si="4"/>
        <v>Wednesday</v>
      </c>
      <c r="R185" t="str">
        <f t="shared" si="5"/>
        <v>Weekday</v>
      </c>
    </row>
    <row r="186" spans="1:18" x14ac:dyDescent="0.35">
      <c r="A186">
        <v>4020332650</v>
      </c>
      <c r="B186" s="1">
        <v>42460</v>
      </c>
      <c r="C186">
        <v>7428</v>
      </c>
      <c r="D186">
        <v>5.3299999237060502</v>
      </c>
      <c r="E186">
        <v>5.3299999237060502</v>
      </c>
      <c r="F186">
        <v>0</v>
      </c>
      <c r="G186">
        <v>0.87000000476837203</v>
      </c>
      <c r="H186">
        <v>0.92000001668930098</v>
      </c>
      <c r="I186">
        <v>3.5099999904632599</v>
      </c>
      <c r="J186">
        <v>0</v>
      </c>
      <c r="K186">
        <v>18</v>
      </c>
      <c r="L186">
        <v>33</v>
      </c>
      <c r="M186">
        <v>261</v>
      </c>
      <c r="N186">
        <v>860</v>
      </c>
      <c r="O186">
        <v>3439</v>
      </c>
      <c r="P186" s="3" cm="1">
        <f t="array" ref="P186">_xlfn.XLOOKUP(A186&amp;B186,'[1]Daily Sleep'!$A$2:$A$468&amp;'[1]Daily Sleep'!$B$2:$B$468,'[1]Daily Sleep'!$D$2:$D$468,"")</f>
        <v>4.3166666666666664</v>
      </c>
      <c r="Q186" t="str">
        <f t="shared" si="4"/>
        <v>Thursday</v>
      </c>
      <c r="R186" t="str">
        <f t="shared" si="5"/>
        <v>Weekend</v>
      </c>
    </row>
    <row r="187" spans="1:18" x14ac:dyDescent="0.35">
      <c r="A187">
        <v>4020332650</v>
      </c>
      <c r="B187" s="1">
        <v>42461</v>
      </c>
      <c r="C187">
        <v>5351</v>
      </c>
      <c r="D187">
        <v>3.8399999141693102</v>
      </c>
      <c r="E187">
        <v>3.8399999141693102</v>
      </c>
      <c r="F187">
        <v>0</v>
      </c>
      <c r="G187">
        <v>0.62000000476837203</v>
      </c>
      <c r="H187">
        <v>0.18000000715255701</v>
      </c>
      <c r="I187">
        <v>3.0099999904632599</v>
      </c>
      <c r="J187">
        <v>0</v>
      </c>
      <c r="K187">
        <v>15</v>
      </c>
      <c r="L187">
        <v>17</v>
      </c>
      <c r="M187">
        <v>210</v>
      </c>
      <c r="N187">
        <v>748</v>
      </c>
      <c r="O187">
        <v>3338</v>
      </c>
      <c r="P187" s="3" cm="1">
        <f t="array" ref="P187">_xlfn.XLOOKUP(A187&amp;B187,'[1]Daily Sleep'!$A$2:$A$468&amp;'[1]Daily Sleep'!$B$2:$B$468,'[1]Daily Sleep'!$D$2:$D$468,"")</f>
        <v>7.15</v>
      </c>
      <c r="Q187" t="str">
        <f t="shared" si="4"/>
        <v>Friday</v>
      </c>
      <c r="R187" t="str">
        <f t="shared" si="5"/>
        <v>Weekend</v>
      </c>
    </row>
    <row r="188" spans="1:18" x14ac:dyDescent="0.35">
      <c r="A188">
        <v>4020332650</v>
      </c>
      <c r="B188" s="1">
        <v>42462</v>
      </c>
      <c r="C188">
        <v>4299</v>
      </c>
      <c r="D188">
        <v>3.0999999046325701</v>
      </c>
      <c r="E188">
        <v>3.0999999046325701</v>
      </c>
      <c r="F188">
        <v>0</v>
      </c>
      <c r="G188">
        <v>9.00000035762787E-2</v>
      </c>
      <c r="H188">
        <v>0.20999999344348899</v>
      </c>
      <c r="I188">
        <v>2.7400000095367401</v>
      </c>
      <c r="J188">
        <v>3.9999999105930301E-2</v>
      </c>
      <c r="K188">
        <v>3</v>
      </c>
      <c r="L188">
        <v>15</v>
      </c>
      <c r="M188">
        <v>162</v>
      </c>
      <c r="N188">
        <v>752</v>
      </c>
      <c r="O188">
        <v>2892</v>
      </c>
      <c r="P188" s="3" cm="1">
        <f t="array" ref="P188">_xlfn.XLOOKUP(A188&amp;B188,'[1]Daily Sleep'!$A$2:$A$468&amp;'[1]Daily Sleep'!$B$2:$B$468,'[1]Daily Sleep'!$D$2:$D$468,"")</f>
        <v>8.3166666666666664</v>
      </c>
      <c r="Q188" t="str">
        <f t="shared" si="4"/>
        <v>Saturday</v>
      </c>
      <c r="R188" t="str">
        <f t="shared" si="5"/>
        <v>Weekday</v>
      </c>
    </row>
    <row r="189" spans="1:18" x14ac:dyDescent="0.35">
      <c r="A189">
        <v>4020332650</v>
      </c>
      <c r="B189" s="1">
        <v>42463</v>
      </c>
      <c r="C189">
        <v>6107</v>
      </c>
      <c r="D189">
        <v>4.3800001144409197</v>
      </c>
      <c r="E189">
        <v>4.3800001144409197</v>
      </c>
      <c r="F189">
        <v>0</v>
      </c>
      <c r="G189">
        <v>0</v>
      </c>
      <c r="H189">
        <v>0</v>
      </c>
      <c r="I189">
        <v>4.3600001335143999</v>
      </c>
      <c r="J189">
        <v>0</v>
      </c>
      <c r="K189">
        <v>0</v>
      </c>
      <c r="L189">
        <v>0</v>
      </c>
      <c r="M189">
        <v>265</v>
      </c>
      <c r="N189">
        <v>776</v>
      </c>
      <c r="O189">
        <v>3313</v>
      </c>
      <c r="P189" s="3" cm="1">
        <f t="array" ref="P189">_xlfn.XLOOKUP(A189&amp;B189,'[1]Daily Sleep'!$A$2:$A$468&amp;'[1]Daily Sleep'!$B$2:$B$468,'[1]Daily Sleep'!$D$2:$D$468,"")</f>
        <v>6.45</v>
      </c>
      <c r="Q189" t="str">
        <f t="shared" si="4"/>
        <v>Sunday</v>
      </c>
      <c r="R189" t="str">
        <f t="shared" si="5"/>
        <v>Weekday</v>
      </c>
    </row>
    <row r="190" spans="1:18" x14ac:dyDescent="0.35">
      <c r="A190">
        <v>4020332650</v>
      </c>
      <c r="B190" s="1">
        <v>42464</v>
      </c>
      <c r="C190">
        <v>6429</v>
      </c>
      <c r="D190">
        <v>4.5999999046325701</v>
      </c>
      <c r="E190">
        <v>4.5999999046325701</v>
      </c>
      <c r="F190">
        <v>0</v>
      </c>
      <c r="G190">
        <v>0</v>
      </c>
      <c r="H190">
        <v>0.94999998807907104</v>
      </c>
      <c r="I190">
        <v>3.6500000953674299</v>
      </c>
      <c r="J190">
        <v>0</v>
      </c>
      <c r="K190">
        <v>0</v>
      </c>
      <c r="L190">
        <v>28</v>
      </c>
      <c r="M190">
        <v>193</v>
      </c>
      <c r="N190">
        <v>741</v>
      </c>
      <c r="O190">
        <v>3118</v>
      </c>
      <c r="P190" s="3" cm="1">
        <f t="array" ref="P190">_xlfn.XLOOKUP(A190&amp;B190,'[1]Daily Sleep'!$A$2:$A$468&amp;'[1]Daily Sleep'!$B$2:$B$468,'[1]Daily Sleep'!$D$2:$D$468,"")</f>
        <v>7.7166666666666668</v>
      </c>
      <c r="Q190" t="str">
        <f t="shared" si="4"/>
        <v>Monday</v>
      </c>
      <c r="R190" t="str">
        <f t="shared" si="5"/>
        <v>Weekday</v>
      </c>
    </row>
    <row r="191" spans="1:18" x14ac:dyDescent="0.35">
      <c r="A191">
        <v>4020332650</v>
      </c>
      <c r="B191" s="1">
        <v>42465</v>
      </c>
      <c r="C191">
        <v>6880</v>
      </c>
      <c r="D191">
        <v>4.9299998283386204</v>
      </c>
      <c r="E191">
        <v>4.9299998283386204</v>
      </c>
      <c r="F191">
        <v>0</v>
      </c>
      <c r="G191">
        <v>0.5</v>
      </c>
      <c r="H191">
        <v>0.75999999046325695</v>
      </c>
      <c r="I191">
        <v>3.6500000953674299</v>
      </c>
      <c r="J191">
        <v>0</v>
      </c>
      <c r="K191">
        <v>7</v>
      </c>
      <c r="L191">
        <v>19</v>
      </c>
      <c r="M191">
        <v>165</v>
      </c>
      <c r="N191">
        <v>1249</v>
      </c>
      <c r="O191">
        <v>2966</v>
      </c>
      <c r="P191" s="3" t="str" cm="1">
        <f t="array" ref="P191">_xlfn.XLOOKUP(A191&amp;B191,'[1]Daily Sleep'!$A$2:$A$468&amp;'[1]Daily Sleep'!$B$2:$B$468,'[1]Daily Sleep'!$D$2:$D$468,"")</f>
        <v/>
      </c>
      <c r="Q191" t="str">
        <f t="shared" si="4"/>
        <v>Tuesday</v>
      </c>
      <c r="R191" t="str">
        <f t="shared" si="5"/>
        <v>Weekday</v>
      </c>
    </row>
    <row r="192" spans="1:18" x14ac:dyDescent="0.35">
      <c r="A192">
        <v>4020332650</v>
      </c>
      <c r="B192" s="1">
        <v>42466</v>
      </c>
      <c r="C192">
        <v>7476</v>
      </c>
      <c r="D192">
        <v>5.3600001335143999</v>
      </c>
      <c r="E192">
        <v>5.3600001335143999</v>
      </c>
      <c r="F192">
        <v>0</v>
      </c>
      <c r="G192">
        <v>0</v>
      </c>
      <c r="H192">
        <v>0</v>
      </c>
      <c r="I192">
        <v>5.3099999427795401</v>
      </c>
      <c r="J192">
        <v>0</v>
      </c>
      <c r="K192">
        <v>0</v>
      </c>
      <c r="L192">
        <v>0</v>
      </c>
      <c r="M192">
        <v>263</v>
      </c>
      <c r="N192">
        <v>920</v>
      </c>
      <c r="O192">
        <v>3253</v>
      </c>
      <c r="P192" s="3" cm="1">
        <f t="array" ref="P192">_xlfn.XLOOKUP(A192&amp;B192,'[1]Daily Sleep'!$A$2:$A$468&amp;'[1]Daily Sleep'!$B$2:$B$468,'[1]Daily Sleep'!$D$2:$D$468,"")</f>
        <v>4.083333333333333</v>
      </c>
      <c r="Q192" t="str">
        <f t="shared" si="4"/>
        <v>Wednesday</v>
      </c>
      <c r="R192" t="str">
        <f t="shared" si="5"/>
        <v>Weekday</v>
      </c>
    </row>
    <row r="193" spans="1:18" x14ac:dyDescent="0.35">
      <c r="A193">
        <v>4020332650</v>
      </c>
      <c r="B193" s="1">
        <v>42467</v>
      </c>
      <c r="C193">
        <v>6581</v>
      </c>
      <c r="D193">
        <v>4.7199997901916504</v>
      </c>
      <c r="E193">
        <v>4.7199997901916504</v>
      </c>
      <c r="F193">
        <v>0</v>
      </c>
      <c r="G193">
        <v>0</v>
      </c>
      <c r="H193">
        <v>0.28999999165535001</v>
      </c>
      <c r="I193">
        <v>4.3899998664856001</v>
      </c>
      <c r="J193">
        <v>0</v>
      </c>
      <c r="K193">
        <v>0</v>
      </c>
      <c r="L193">
        <v>8</v>
      </c>
      <c r="M193">
        <v>241</v>
      </c>
      <c r="N193">
        <v>1191</v>
      </c>
      <c r="O193">
        <v>3032</v>
      </c>
      <c r="P193" s="3" t="str" cm="1">
        <f t="array" ref="P193">_xlfn.XLOOKUP(A193&amp;B193,'[1]Daily Sleep'!$A$2:$A$468&amp;'[1]Daily Sleep'!$B$2:$B$468,'[1]Daily Sleep'!$D$2:$D$468,"")</f>
        <v/>
      </c>
      <c r="Q193" t="str">
        <f t="shared" si="4"/>
        <v>Thursday</v>
      </c>
      <c r="R193" t="str">
        <f t="shared" si="5"/>
        <v>Weekend</v>
      </c>
    </row>
    <row r="194" spans="1:18" x14ac:dyDescent="0.35">
      <c r="A194">
        <v>4020332650</v>
      </c>
      <c r="B194" s="1">
        <v>42468</v>
      </c>
      <c r="C194">
        <v>10480</v>
      </c>
      <c r="D194">
        <v>7.5100002288818404</v>
      </c>
      <c r="E194">
        <v>7.5100002288818404</v>
      </c>
      <c r="F194">
        <v>0</v>
      </c>
      <c r="G194">
        <v>0.40999999642372098</v>
      </c>
      <c r="H194">
        <v>1.4700000286102299</v>
      </c>
      <c r="I194">
        <v>5.0100002288818404</v>
      </c>
      <c r="J194">
        <v>3.9999999105930301E-2</v>
      </c>
      <c r="K194">
        <v>6</v>
      </c>
      <c r="L194">
        <v>37</v>
      </c>
      <c r="M194">
        <v>272</v>
      </c>
      <c r="N194">
        <v>1125</v>
      </c>
      <c r="O194">
        <v>4034</v>
      </c>
      <c r="P194" s="3" t="str" cm="1">
        <f t="array" ref="P194">_xlfn.XLOOKUP(A194&amp;B194,'[1]Daily Sleep'!$A$2:$A$468&amp;'[1]Daily Sleep'!$B$2:$B$468,'[1]Daily Sleep'!$D$2:$D$468,"")</f>
        <v/>
      </c>
      <c r="Q194" t="str">
        <f t="shared" si="4"/>
        <v>Friday</v>
      </c>
      <c r="R194" t="str">
        <f t="shared" si="5"/>
        <v>Weekend</v>
      </c>
    </row>
    <row r="195" spans="1:18" x14ac:dyDescent="0.35">
      <c r="A195">
        <v>4020332650</v>
      </c>
      <c r="B195" s="1">
        <v>42469</v>
      </c>
      <c r="C195">
        <v>7734</v>
      </c>
      <c r="D195">
        <v>5.5500001907348597</v>
      </c>
      <c r="E195">
        <v>5.5500001907348597</v>
      </c>
      <c r="F195">
        <v>0</v>
      </c>
      <c r="G195">
        <v>1.1599999666214</v>
      </c>
      <c r="H195">
        <v>0.490000009536743</v>
      </c>
      <c r="I195">
        <v>3.8199999332428001</v>
      </c>
      <c r="J195">
        <v>5.9999998658895499E-2</v>
      </c>
      <c r="K195">
        <v>20</v>
      </c>
      <c r="L195">
        <v>12</v>
      </c>
      <c r="M195">
        <v>223</v>
      </c>
      <c r="N195">
        <v>1185</v>
      </c>
      <c r="O195">
        <v>3264</v>
      </c>
      <c r="P195" s="3" t="str" cm="1">
        <f t="array" ref="P195">_xlfn.XLOOKUP(A195&amp;B195,'[1]Daily Sleep'!$A$2:$A$468&amp;'[1]Daily Sleep'!$B$2:$B$468,'[1]Daily Sleep'!$D$2:$D$468,"")</f>
        <v/>
      </c>
      <c r="Q195" t="str">
        <f t="shared" ref="Q195:Q258" si="6">TEXT(B195,"dddd")</f>
        <v>Saturday</v>
      </c>
      <c r="R195" t="str">
        <f t="shared" ref="R195:R258" si="7">IF(OR(WEEKDAY(B196,2)=5,WEEKDAY(B196,2)=6),"Weekend","Weekday")</f>
        <v>Weekday</v>
      </c>
    </row>
    <row r="196" spans="1:18" x14ac:dyDescent="0.35">
      <c r="A196">
        <v>4020332650</v>
      </c>
      <c r="B196" s="1">
        <v>42470</v>
      </c>
      <c r="C196">
        <v>5129</v>
      </c>
      <c r="D196">
        <v>3.6800000667571999</v>
      </c>
      <c r="E196">
        <v>3.6800000667571999</v>
      </c>
      <c r="F196">
        <v>0</v>
      </c>
      <c r="G196">
        <v>0.18000000715255701</v>
      </c>
      <c r="H196">
        <v>0.239999994635582</v>
      </c>
      <c r="I196">
        <v>3.21000003814697</v>
      </c>
      <c r="J196">
        <v>9.9999997764825804E-3</v>
      </c>
      <c r="K196">
        <v>5</v>
      </c>
      <c r="L196">
        <v>7</v>
      </c>
      <c r="M196">
        <v>176</v>
      </c>
      <c r="N196">
        <v>1178</v>
      </c>
      <c r="O196">
        <v>2817</v>
      </c>
      <c r="P196" s="3" cm="1">
        <f t="array" ref="P196">_xlfn.XLOOKUP(A196&amp;B196,'[1]Daily Sleep'!$A$2:$A$468&amp;'[1]Daily Sleep'!$B$2:$B$468,'[1]Daily Sleep'!$D$2:$D$468,"")</f>
        <v>1.2333333333333334</v>
      </c>
      <c r="Q196" t="str">
        <f t="shared" si="6"/>
        <v>Sunday</v>
      </c>
      <c r="R196" t="str">
        <f t="shared" si="7"/>
        <v>Weekday</v>
      </c>
    </row>
    <row r="197" spans="1:18" x14ac:dyDescent="0.35">
      <c r="A197">
        <v>4020332650</v>
      </c>
      <c r="B197" s="1">
        <v>42471</v>
      </c>
      <c r="C197">
        <v>2993</v>
      </c>
      <c r="D197">
        <v>2.1500000953674299</v>
      </c>
      <c r="E197">
        <v>2.1500000953674299</v>
      </c>
      <c r="F197">
        <v>0</v>
      </c>
      <c r="G197">
        <v>0</v>
      </c>
      <c r="H197">
        <v>0</v>
      </c>
      <c r="I197">
        <v>2.0899999141693102</v>
      </c>
      <c r="J197">
        <v>0</v>
      </c>
      <c r="K197">
        <v>0</v>
      </c>
      <c r="L197">
        <v>0</v>
      </c>
      <c r="M197">
        <v>114</v>
      </c>
      <c r="N197">
        <v>888</v>
      </c>
      <c r="O197">
        <v>2507</v>
      </c>
      <c r="P197" s="3" cm="1">
        <f t="array" ref="P197">_xlfn.XLOOKUP(A197&amp;B197,'[1]Daily Sleep'!$A$2:$A$468&amp;'[1]Daily Sleep'!$B$2:$B$468,'[1]Daily Sleep'!$D$2:$D$468,"")</f>
        <v>7.1</v>
      </c>
      <c r="Q197" t="str">
        <f t="shared" si="6"/>
        <v>Monday</v>
      </c>
      <c r="R197" t="str">
        <f t="shared" si="7"/>
        <v>Weekday</v>
      </c>
    </row>
    <row r="198" spans="1:18" x14ac:dyDescent="0.35">
      <c r="A198">
        <v>4020332650</v>
      </c>
      <c r="B198" s="1">
        <v>42472</v>
      </c>
      <c r="C198">
        <v>8</v>
      </c>
      <c r="D198">
        <v>9.9999997764825804E-3</v>
      </c>
      <c r="E198">
        <v>9.9999997764825804E-3</v>
      </c>
      <c r="F198">
        <v>0</v>
      </c>
      <c r="G198">
        <v>0</v>
      </c>
      <c r="H198">
        <v>0</v>
      </c>
      <c r="I198">
        <v>9.9999997764825804E-3</v>
      </c>
      <c r="J198">
        <v>0</v>
      </c>
      <c r="K198">
        <v>0</v>
      </c>
      <c r="L198">
        <v>0</v>
      </c>
      <c r="M198">
        <v>1</v>
      </c>
      <c r="N198">
        <v>321</v>
      </c>
      <c r="O198">
        <v>446</v>
      </c>
      <c r="P198" s="3" t="str" cm="1">
        <f t="array" ref="P198">_xlfn.XLOOKUP(A198&amp;B198,'[1]Daily Sleep'!$A$2:$A$468&amp;'[1]Daily Sleep'!$B$2:$B$468,'[1]Daily Sleep'!$D$2:$D$468,"")</f>
        <v/>
      </c>
      <c r="Q198" t="str">
        <f t="shared" si="6"/>
        <v>Tuesday</v>
      </c>
      <c r="R198" t="str">
        <f t="shared" si="7"/>
        <v>Weekend</v>
      </c>
    </row>
    <row r="199" spans="1:18" x14ac:dyDescent="0.35">
      <c r="A199">
        <v>4057192912</v>
      </c>
      <c r="B199" s="1">
        <v>42441</v>
      </c>
      <c r="C199">
        <v>0</v>
      </c>
      <c r="D199">
        <v>0</v>
      </c>
      <c r="E199">
        <v>0</v>
      </c>
      <c r="F199">
        <v>0</v>
      </c>
      <c r="G199">
        <v>0</v>
      </c>
      <c r="H199">
        <v>0</v>
      </c>
      <c r="I199">
        <v>0</v>
      </c>
      <c r="J199">
        <v>0</v>
      </c>
      <c r="K199">
        <v>0</v>
      </c>
      <c r="L199">
        <v>0</v>
      </c>
      <c r="M199">
        <v>0</v>
      </c>
      <c r="N199">
        <v>1440</v>
      </c>
      <c r="O199">
        <v>1777</v>
      </c>
      <c r="P199" s="3" t="str" cm="1">
        <f t="array" ref="P199">_xlfn.XLOOKUP(A199&amp;B199,'[1]Daily Sleep'!$A$2:$A$468&amp;'[1]Daily Sleep'!$B$2:$B$468,'[1]Daily Sleep'!$D$2:$D$468,"")</f>
        <v/>
      </c>
      <c r="Q199" t="str">
        <f t="shared" si="6"/>
        <v>Saturday</v>
      </c>
      <c r="R199" t="str">
        <f t="shared" si="7"/>
        <v>Weekday</v>
      </c>
    </row>
    <row r="200" spans="1:18" x14ac:dyDescent="0.35">
      <c r="A200">
        <v>4057192912</v>
      </c>
      <c r="B200" s="1">
        <v>42442</v>
      </c>
      <c r="C200">
        <v>0</v>
      </c>
      <c r="D200">
        <v>0</v>
      </c>
      <c r="E200">
        <v>0</v>
      </c>
      <c r="F200">
        <v>0</v>
      </c>
      <c r="G200">
        <v>0</v>
      </c>
      <c r="H200">
        <v>0</v>
      </c>
      <c r="I200">
        <v>0</v>
      </c>
      <c r="J200">
        <v>0</v>
      </c>
      <c r="K200">
        <v>0</v>
      </c>
      <c r="L200">
        <v>0</v>
      </c>
      <c r="M200">
        <v>0</v>
      </c>
      <c r="N200">
        <v>1440</v>
      </c>
      <c r="O200">
        <v>1777</v>
      </c>
      <c r="P200" s="3" t="str" cm="1">
        <f t="array" ref="P200">_xlfn.XLOOKUP(A200&amp;B200,'[1]Daily Sleep'!$A$2:$A$468&amp;'[1]Daily Sleep'!$B$2:$B$468,'[1]Daily Sleep'!$D$2:$D$468,"")</f>
        <v/>
      </c>
      <c r="Q200" t="str">
        <f t="shared" si="6"/>
        <v>Sunday</v>
      </c>
      <c r="R200" t="str">
        <f t="shared" si="7"/>
        <v>Weekday</v>
      </c>
    </row>
    <row r="201" spans="1:18" x14ac:dyDescent="0.35">
      <c r="A201">
        <v>4057192912</v>
      </c>
      <c r="B201" s="1">
        <v>42443</v>
      </c>
      <c r="C201">
        <v>8433</v>
      </c>
      <c r="D201">
        <v>6.2300000190734899</v>
      </c>
      <c r="E201">
        <v>6.2300000190734899</v>
      </c>
      <c r="F201">
        <v>0</v>
      </c>
      <c r="G201">
        <v>2.4500000476837198</v>
      </c>
      <c r="H201">
        <v>0.33000001311302202</v>
      </c>
      <c r="I201">
        <v>3.4400000572204599</v>
      </c>
      <c r="J201">
        <v>0</v>
      </c>
      <c r="K201">
        <v>30</v>
      </c>
      <c r="L201">
        <v>7</v>
      </c>
      <c r="M201">
        <v>135</v>
      </c>
      <c r="N201">
        <v>1268</v>
      </c>
      <c r="O201">
        <v>2453</v>
      </c>
      <c r="P201" s="3" t="str" cm="1">
        <f t="array" ref="P201">_xlfn.XLOOKUP(A201&amp;B201,'[1]Daily Sleep'!$A$2:$A$468&amp;'[1]Daily Sleep'!$B$2:$B$468,'[1]Daily Sleep'!$D$2:$D$468,"")</f>
        <v/>
      </c>
      <c r="Q201" t="str">
        <f t="shared" si="6"/>
        <v>Monday</v>
      </c>
      <c r="R201" t="str">
        <f t="shared" si="7"/>
        <v>Weekday</v>
      </c>
    </row>
    <row r="202" spans="1:18" x14ac:dyDescent="0.35">
      <c r="A202">
        <v>4057192912</v>
      </c>
      <c r="B202" s="1">
        <v>42444</v>
      </c>
      <c r="C202">
        <v>0</v>
      </c>
      <c r="D202">
        <v>0</v>
      </c>
      <c r="E202">
        <v>0</v>
      </c>
      <c r="F202">
        <v>0</v>
      </c>
      <c r="G202">
        <v>0</v>
      </c>
      <c r="H202">
        <v>0</v>
      </c>
      <c r="I202">
        <v>0</v>
      </c>
      <c r="J202">
        <v>0</v>
      </c>
      <c r="K202">
        <v>0</v>
      </c>
      <c r="L202">
        <v>0</v>
      </c>
      <c r="M202">
        <v>0</v>
      </c>
      <c r="N202">
        <v>1440</v>
      </c>
      <c r="O202">
        <v>1776</v>
      </c>
      <c r="P202" s="3" t="str" cm="1">
        <f t="array" ref="P202">_xlfn.XLOOKUP(A202&amp;B202,'[1]Daily Sleep'!$A$2:$A$468&amp;'[1]Daily Sleep'!$B$2:$B$468,'[1]Daily Sleep'!$D$2:$D$468,"")</f>
        <v/>
      </c>
      <c r="Q202" t="str">
        <f t="shared" si="6"/>
        <v>Tuesday</v>
      </c>
      <c r="R202" t="str">
        <f t="shared" si="7"/>
        <v>Weekday</v>
      </c>
    </row>
    <row r="203" spans="1:18" x14ac:dyDescent="0.35">
      <c r="A203">
        <v>4057192912</v>
      </c>
      <c r="B203" s="1">
        <v>42445</v>
      </c>
      <c r="C203">
        <v>2139</v>
      </c>
      <c r="D203">
        <v>1.5599999427795399</v>
      </c>
      <c r="E203">
        <v>1.5599999427795399</v>
      </c>
      <c r="F203">
        <v>0</v>
      </c>
      <c r="G203">
        <v>0</v>
      </c>
      <c r="H203">
        <v>1.29999995231628</v>
      </c>
      <c r="I203">
        <v>0.259999990463257</v>
      </c>
      <c r="J203">
        <v>0</v>
      </c>
      <c r="K203">
        <v>0</v>
      </c>
      <c r="L203">
        <v>28</v>
      </c>
      <c r="M203">
        <v>15</v>
      </c>
      <c r="N203">
        <v>1397</v>
      </c>
      <c r="O203">
        <v>1935</v>
      </c>
      <c r="P203" s="3" t="str" cm="1">
        <f t="array" ref="P203">_xlfn.XLOOKUP(A203&amp;B203,'[1]Daily Sleep'!$A$2:$A$468&amp;'[1]Daily Sleep'!$B$2:$B$468,'[1]Daily Sleep'!$D$2:$D$468,"")</f>
        <v/>
      </c>
      <c r="Q203" t="str">
        <f t="shared" si="6"/>
        <v>Wednesday</v>
      </c>
      <c r="R203" t="str">
        <f t="shared" si="7"/>
        <v>Weekday</v>
      </c>
    </row>
    <row r="204" spans="1:18" x14ac:dyDescent="0.35">
      <c r="A204">
        <v>4057192912</v>
      </c>
      <c r="B204" s="1">
        <v>42446</v>
      </c>
      <c r="C204">
        <v>0</v>
      </c>
      <c r="D204">
        <v>0</v>
      </c>
      <c r="E204">
        <v>0</v>
      </c>
      <c r="F204">
        <v>0</v>
      </c>
      <c r="G204">
        <v>0</v>
      </c>
      <c r="H204">
        <v>0</v>
      </c>
      <c r="I204">
        <v>0</v>
      </c>
      <c r="J204">
        <v>0</v>
      </c>
      <c r="K204">
        <v>0</v>
      </c>
      <c r="L204">
        <v>0</v>
      </c>
      <c r="M204">
        <v>0</v>
      </c>
      <c r="N204">
        <v>1440</v>
      </c>
      <c r="O204">
        <v>1776</v>
      </c>
      <c r="P204" s="3" t="str" cm="1">
        <f t="array" ref="P204">_xlfn.XLOOKUP(A204&amp;B204,'[1]Daily Sleep'!$A$2:$A$468&amp;'[1]Daily Sleep'!$B$2:$B$468,'[1]Daily Sleep'!$D$2:$D$468,"")</f>
        <v/>
      </c>
      <c r="Q204" t="str">
        <f t="shared" si="6"/>
        <v>Thursday</v>
      </c>
      <c r="R204" t="str">
        <f t="shared" si="7"/>
        <v>Weekend</v>
      </c>
    </row>
    <row r="205" spans="1:18" x14ac:dyDescent="0.35">
      <c r="A205">
        <v>4057192912</v>
      </c>
      <c r="B205" s="1">
        <v>42447</v>
      </c>
      <c r="C205">
        <v>949</v>
      </c>
      <c r="D205">
        <v>0.68999999761581399</v>
      </c>
      <c r="E205">
        <v>0.68999999761581399</v>
      </c>
      <c r="F205">
        <v>0</v>
      </c>
      <c r="G205">
        <v>0</v>
      </c>
      <c r="H205">
        <v>0</v>
      </c>
      <c r="I205">
        <v>0.68999999761581399</v>
      </c>
      <c r="J205">
        <v>0</v>
      </c>
      <c r="K205">
        <v>0</v>
      </c>
      <c r="L205">
        <v>0</v>
      </c>
      <c r="M205">
        <v>34</v>
      </c>
      <c r="N205">
        <v>1406</v>
      </c>
      <c r="O205">
        <v>1870</v>
      </c>
      <c r="P205" s="3" t="str" cm="1">
        <f t="array" ref="P205">_xlfn.XLOOKUP(A205&amp;B205,'[1]Daily Sleep'!$A$2:$A$468&amp;'[1]Daily Sleep'!$B$2:$B$468,'[1]Daily Sleep'!$D$2:$D$468,"")</f>
        <v/>
      </c>
      <c r="Q205" t="str">
        <f t="shared" si="6"/>
        <v>Friday</v>
      </c>
      <c r="R205" t="str">
        <f t="shared" si="7"/>
        <v>Weekend</v>
      </c>
    </row>
    <row r="206" spans="1:18" x14ac:dyDescent="0.35">
      <c r="A206">
        <v>4057192912</v>
      </c>
      <c r="B206" s="1">
        <v>42448</v>
      </c>
      <c r="C206">
        <v>0</v>
      </c>
      <c r="D206">
        <v>0</v>
      </c>
      <c r="E206">
        <v>0</v>
      </c>
      <c r="F206">
        <v>0</v>
      </c>
      <c r="G206">
        <v>0</v>
      </c>
      <c r="H206">
        <v>0</v>
      </c>
      <c r="I206">
        <v>0</v>
      </c>
      <c r="J206">
        <v>0</v>
      </c>
      <c r="K206">
        <v>0</v>
      </c>
      <c r="L206">
        <v>0</v>
      </c>
      <c r="M206">
        <v>0</v>
      </c>
      <c r="N206">
        <v>1440</v>
      </c>
      <c r="O206">
        <v>1777</v>
      </c>
      <c r="P206" s="3" t="str" cm="1">
        <f t="array" ref="P206">_xlfn.XLOOKUP(A206&amp;B206,'[1]Daily Sleep'!$A$2:$A$468&amp;'[1]Daily Sleep'!$B$2:$B$468,'[1]Daily Sleep'!$D$2:$D$468,"")</f>
        <v/>
      </c>
      <c r="Q206" t="str">
        <f t="shared" si="6"/>
        <v>Saturday</v>
      </c>
      <c r="R206" t="str">
        <f t="shared" si="7"/>
        <v>Weekday</v>
      </c>
    </row>
    <row r="207" spans="1:18" x14ac:dyDescent="0.35">
      <c r="A207">
        <v>4057192912</v>
      </c>
      <c r="B207" s="1">
        <v>42449</v>
      </c>
      <c r="C207">
        <v>44</v>
      </c>
      <c r="D207">
        <v>2.9999999329447701E-2</v>
      </c>
      <c r="E207">
        <v>2.9999999329447701E-2</v>
      </c>
      <c r="F207">
        <v>0</v>
      </c>
      <c r="G207">
        <v>0</v>
      </c>
      <c r="H207">
        <v>0</v>
      </c>
      <c r="I207">
        <v>2.9999999329447701E-2</v>
      </c>
      <c r="J207">
        <v>0</v>
      </c>
      <c r="K207">
        <v>0</v>
      </c>
      <c r="L207">
        <v>0</v>
      </c>
      <c r="M207">
        <v>2</v>
      </c>
      <c r="N207">
        <v>1438</v>
      </c>
      <c r="O207">
        <v>1782</v>
      </c>
      <c r="P207" s="3" t="str" cm="1">
        <f t="array" ref="P207">_xlfn.XLOOKUP(A207&amp;B207,'[1]Daily Sleep'!$A$2:$A$468&amp;'[1]Daily Sleep'!$B$2:$B$468,'[1]Daily Sleep'!$D$2:$D$468,"")</f>
        <v/>
      </c>
      <c r="Q207" t="str">
        <f t="shared" si="6"/>
        <v>Sunday</v>
      </c>
      <c r="R207" t="str">
        <f t="shared" si="7"/>
        <v>Weekday</v>
      </c>
    </row>
    <row r="208" spans="1:18" x14ac:dyDescent="0.35">
      <c r="A208">
        <v>4057192912</v>
      </c>
      <c r="B208" s="1">
        <v>42450</v>
      </c>
      <c r="C208">
        <v>2660</v>
      </c>
      <c r="D208">
        <v>1.9400000572204601</v>
      </c>
      <c r="E208">
        <v>1.9400000572204601</v>
      </c>
      <c r="F208">
        <v>0</v>
      </c>
      <c r="G208">
        <v>0</v>
      </c>
      <c r="H208">
        <v>0</v>
      </c>
      <c r="I208">
        <v>1.9400000572204601</v>
      </c>
      <c r="J208">
        <v>0</v>
      </c>
      <c r="K208">
        <v>0</v>
      </c>
      <c r="L208">
        <v>0</v>
      </c>
      <c r="M208">
        <v>46</v>
      </c>
      <c r="N208">
        <v>1394</v>
      </c>
      <c r="O208">
        <v>1978</v>
      </c>
      <c r="P208" s="3" t="str" cm="1">
        <f t="array" ref="P208">_xlfn.XLOOKUP(A208&amp;B208,'[1]Daily Sleep'!$A$2:$A$468&amp;'[1]Daily Sleep'!$B$2:$B$468,'[1]Daily Sleep'!$D$2:$D$468,"")</f>
        <v/>
      </c>
      <c r="Q208" t="str">
        <f t="shared" si="6"/>
        <v>Monday</v>
      </c>
      <c r="R208" t="str">
        <f t="shared" si="7"/>
        <v>Weekday</v>
      </c>
    </row>
    <row r="209" spans="1:18" x14ac:dyDescent="0.35">
      <c r="A209">
        <v>4057192912</v>
      </c>
      <c r="B209" s="1">
        <v>42451</v>
      </c>
      <c r="C209">
        <v>5561</v>
      </c>
      <c r="D209">
        <v>4.1900000572204599</v>
      </c>
      <c r="E209">
        <v>4.1900000572204599</v>
      </c>
      <c r="F209">
        <v>0</v>
      </c>
      <c r="G209">
        <v>0</v>
      </c>
      <c r="H209">
        <v>0</v>
      </c>
      <c r="I209">
        <v>4.0700001716613796</v>
      </c>
      <c r="J209">
        <v>0</v>
      </c>
      <c r="K209">
        <v>0</v>
      </c>
      <c r="L209">
        <v>0</v>
      </c>
      <c r="M209">
        <v>169</v>
      </c>
      <c r="N209">
        <v>1271</v>
      </c>
      <c r="O209">
        <v>2296</v>
      </c>
      <c r="P209" s="3" t="str" cm="1">
        <f t="array" ref="P209">_xlfn.XLOOKUP(A209&amp;B209,'[1]Daily Sleep'!$A$2:$A$468&amp;'[1]Daily Sleep'!$B$2:$B$468,'[1]Daily Sleep'!$D$2:$D$468,"")</f>
        <v/>
      </c>
      <c r="Q209" t="str">
        <f t="shared" si="6"/>
        <v>Tuesday</v>
      </c>
      <c r="R209" t="str">
        <f t="shared" si="7"/>
        <v>Weekday</v>
      </c>
    </row>
    <row r="210" spans="1:18" x14ac:dyDescent="0.35">
      <c r="A210">
        <v>4057192912</v>
      </c>
      <c r="B210" s="1">
        <v>42452</v>
      </c>
      <c r="C210">
        <v>7239</v>
      </c>
      <c r="D210">
        <v>5.3400001525878897</v>
      </c>
      <c r="E210">
        <v>5.3400001525878897</v>
      </c>
      <c r="F210">
        <v>0</v>
      </c>
      <c r="G210">
        <v>0.55000001192092896</v>
      </c>
      <c r="H210">
        <v>0.36000001430511502</v>
      </c>
      <c r="I210">
        <v>4.3800001144409197</v>
      </c>
      <c r="J210">
        <v>0</v>
      </c>
      <c r="K210">
        <v>7</v>
      </c>
      <c r="L210">
        <v>7</v>
      </c>
      <c r="M210">
        <v>190</v>
      </c>
      <c r="N210">
        <v>1236</v>
      </c>
      <c r="O210">
        <v>2484</v>
      </c>
      <c r="P210" s="3" t="str" cm="1">
        <f t="array" ref="P210">_xlfn.XLOOKUP(A210&amp;B210,'[1]Daily Sleep'!$A$2:$A$468&amp;'[1]Daily Sleep'!$B$2:$B$468,'[1]Daily Sleep'!$D$2:$D$468,"")</f>
        <v/>
      </c>
      <c r="Q210" t="str">
        <f t="shared" si="6"/>
        <v>Wednesday</v>
      </c>
      <c r="R210" t="str">
        <f t="shared" si="7"/>
        <v>Weekday</v>
      </c>
    </row>
    <row r="211" spans="1:18" x14ac:dyDescent="0.35">
      <c r="A211">
        <v>4057192912</v>
      </c>
      <c r="B211" s="1">
        <v>42453</v>
      </c>
      <c r="C211">
        <v>7</v>
      </c>
      <c r="D211">
        <v>9.9999997764825804E-3</v>
      </c>
      <c r="E211">
        <v>9.9999997764825804E-3</v>
      </c>
      <c r="F211">
        <v>0</v>
      </c>
      <c r="G211">
        <v>0</v>
      </c>
      <c r="H211">
        <v>0</v>
      </c>
      <c r="I211">
        <v>9.9999997764825804E-3</v>
      </c>
      <c r="J211">
        <v>0</v>
      </c>
      <c r="K211">
        <v>0</v>
      </c>
      <c r="L211">
        <v>0</v>
      </c>
      <c r="M211">
        <v>1</v>
      </c>
      <c r="N211">
        <v>1439</v>
      </c>
      <c r="O211">
        <v>1787</v>
      </c>
      <c r="P211" s="3" t="str" cm="1">
        <f t="array" ref="P211">_xlfn.XLOOKUP(A211&amp;B211,'[1]Daily Sleep'!$A$2:$A$468&amp;'[1]Daily Sleep'!$B$2:$B$468,'[1]Daily Sleep'!$D$2:$D$468,"")</f>
        <v/>
      </c>
      <c r="Q211" t="str">
        <f t="shared" si="6"/>
        <v>Thursday</v>
      </c>
      <c r="R211" t="str">
        <f t="shared" si="7"/>
        <v>Weekend</v>
      </c>
    </row>
    <row r="212" spans="1:18" x14ac:dyDescent="0.35">
      <c r="A212">
        <v>4057192912</v>
      </c>
      <c r="B212" s="1">
        <v>42454</v>
      </c>
      <c r="C212">
        <v>0</v>
      </c>
      <c r="D212">
        <v>0</v>
      </c>
      <c r="E212">
        <v>0</v>
      </c>
      <c r="F212">
        <v>0</v>
      </c>
      <c r="G212">
        <v>0</v>
      </c>
      <c r="H212">
        <v>0</v>
      </c>
      <c r="I212">
        <v>0</v>
      </c>
      <c r="J212">
        <v>0</v>
      </c>
      <c r="K212">
        <v>0</v>
      </c>
      <c r="L212">
        <v>0</v>
      </c>
      <c r="M212">
        <v>0</v>
      </c>
      <c r="N212">
        <v>1440</v>
      </c>
      <c r="O212">
        <v>1776</v>
      </c>
      <c r="P212" s="3" t="str" cm="1">
        <f t="array" ref="P212">_xlfn.XLOOKUP(A212&amp;B212,'[1]Daily Sleep'!$A$2:$A$468&amp;'[1]Daily Sleep'!$B$2:$B$468,'[1]Daily Sleep'!$D$2:$D$468,"")</f>
        <v/>
      </c>
      <c r="Q212" t="str">
        <f t="shared" si="6"/>
        <v>Friday</v>
      </c>
      <c r="R212" t="str">
        <f t="shared" si="7"/>
        <v>Weekend</v>
      </c>
    </row>
    <row r="213" spans="1:18" x14ac:dyDescent="0.35">
      <c r="A213">
        <v>4057192912</v>
      </c>
      <c r="B213" s="1">
        <v>42455</v>
      </c>
      <c r="C213">
        <v>0</v>
      </c>
      <c r="D213">
        <v>0</v>
      </c>
      <c r="E213">
        <v>0</v>
      </c>
      <c r="F213">
        <v>0</v>
      </c>
      <c r="G213">
        <v>0</v>
      </c>
      <c r="H213">
        <v>0</v>
      </c>
      <c r="I213">
        <v>0</v>
      </c>
      <c r="J213">
        <v>0</v>
      </c>
      <c r="K213">
        <v>0</v>
      </c>
      <c r="L213">
        <v>0</v>
      </c>
      <c r="M213">
        <v>0</v>
      </c>
      <c r="N213">
        <v>1440</v>
      </c>
      <c r="O213">
        <v>1776</v>
      </c>
      <c r="P213" s="3" t="str" cm="1">
        <f t="array" ref="P213">_xlfn.XLOOKUP(A213&amp;B213,'[1]Daily Sleep'!$A$2:$A$468&amp;'[1]Daily Sleep'!$B$2:$B$468,'[1]Daily Sleep'!$D$2:$D$468,"")</f>
        <v/>
      </c>
      <c r="Q213" t="str">
        <f t="shared" si="6"/>
        <v>Saturday</v>
      </c>
      <c r="R213" t="str">
        <f t="shared" si="7"/>
        <v>Weekday</v>
      </c>
    </row>
    <row r="214" spans="1:18" x14ac:dyDescent="0.35">
      <c r="A214">
        <v>4057192912</v>
      </c>
      <c r="B214" s="1">
        <v>42456</v>
      </c>
      <c r="C214">
        <v>2275</v>
      </c>
      <c r="D214">
        <v>1.6799999475479099</v>
      </c>
      <c r="E214">
        <v>1.6799999475479099</v>
      </c>
      <c r="F214">
        <v>0</v>
      </c>
      <c r="G214">
        <v>0</v>
      </c>
      <c r="H214">
        <v>0</v>
      </c>
      <c r="I214">
        <v>1.6599999666214</v>
      </c>
      <c r="J214">
        <v>0</v>
      </c>
      <c r="K214">
        <v>0</v>
      </c>
      <c r="L214">
        <v>0</v>
      </c>
      <c r="M214">
        <v>86</v>
      </c>
      <c r="N214">
        <v>1354</v>
      </c>
      <c r="O214">
        <v>2005</v>
      </c>
      <c r="P214" s="3" t="str" cm="1">
        <f t="array" ref="P214">_xlfn.XLOOKUP(A214&amp;B214,'[1]Daily Sleep'!$A$2:$A$468&amp;'[1]Daily Sleep'!$B$2:$B$468,'[1]Daily Sleep'!$D$2:$D$468,"")</f>
        <v/>
      </c>
      <c r="Q214" t="str">
        <f t="shared" si="6"/>
        <v>Sunday</v>
      </c>
      <c r="R214" t="str">
        <f t="shared" si="7"/>
        <v>Weekday</v>
      </c>
    </row>
    <row r="215" spans="1:18" x14ac:dyDescent="0.35">
      <c r="A215">
        <v>4057192912</v>
      </c>
      <c r="B215" s="1">
        <v>42457</v>
      </c>
      <c r="C215">
        <v>8</v>
      </c>
      <c r="D215">
        <v>9.9999997764825804E-3</v>
      </c>
      <c r="E215">
        <v>9.9999997764825804E-3</v>
      </c>
      <c r="F215">
        <v>0</v>
      </c>
      <c r="G215">
        <v>0</v>
      </c>
      <c r="H215">
        <v>0</v>
      </c>
      <c r="I215">
        <v>9.9999997764825804E-3</v>
      </c>
      <c r="J215">
        <v>0</v>
      </c>
      <c r="K215">
        <v>0</v>
      </c>
      <c r="L215">
        <v>0</v>
      </c>
      <c r="M215">
        <v>1</v>
      </c>
      <c r="N215">
        <v>1439</v>
      </c>
      <c r="O215">
        <v>1778</v>
      </c>
      <c r="P215" s="3" t="str" cm="1">
        <f t="array" ref="P215">_xlfn.XLOOKUP(A215&amp;B215,'[1]Daily Sleep'!$A$2:$A$468&amp;'[1]Daily Sleep'!$B$2:$B$468,'[1]Daily Sleep'!$D$2:$D$468,"")</f>
        <v/>
      </c>
      <c r="Q215" t="str">
        <f t="shared" si="6"/>
        <v>Monday</v>
      </c>
      <c r="R215" t="str">
        <f t="shared" si="7"/>
        <v>Weekday</v>
      </c>
    </row>
    <row r="216" spans="1:18" x14ac:dyDescent="0.35">
      <c r="A216">
        <v>4057192912</v>
      </c>
      <c r="B216" s="1">
        <v>42458</v>
      </c>
      <c r="C216">
        <v>5137</v>
      </c>
      <c r="D216">
        <v>3.7599999904632599</v>
      </c>
      <c r="E216">
        <v>3.7599999904632599</v>
      </c>
      <c r="F216">
        <v>0</v>
      </c>
      <c r="G216">
        <v>0</v>
      </c>
      <c r="H216">
        <v>0</v>
      </c>
      <c r="I216">
        <v>3.7599999904632599</v>
      </c>
      <c r="J216">
        <v>0</v>
      </c>
      <c r="K216">
        <v>0</v>
      </c>
      <c r="L216">
        <v>0</v>
      </c>
      <c r="M216">
        <v>160</v>
      </c>
      <c r="N216">
        <v>1280</v>
      </c>
      <c r="O216">
        <v>2293</v>
      </c>
      <c r="P216" s="3" t="str" cm="1">
        <f t="array" ref="P216">_xlfn.XLOOKUP(A216&amp;B216,'[1]Daily Sleep'!$A$2:$A$468&amp;'[1]Daily Sleep'!$B$2:$B$468,'[1]Daily Sleep'!$D$2:$D$468,"")</f>
        <v/>
      </c>
      <c r="Q216" t="str">
        <f t="shared" si="6"/>
        <v>Tuesday</v>
      </c>
      <c r="R216" t="str">
        <f t="shared" si="7"/>
        <v>Weekday</v>
      </c>
    </row>
    <row r="217" spans="1:18" x14ac:dyDescent="0.35">
      <c r="A217">
        <v>4057192912</v>
      </c>
      <c r="B217" s="1">
        <v>42459</v>
      </c>
      <c r="C217">
        <v>5419</v>
      </c>
      <c r="D217">
        <v>4</v>
      </c>
      <c r="E217">
        <v>4.5700001716613796</v>
      </c>
      <c r="F217">
        <v>5.5842999368906E-2</v>
      </c>
      <c r="G217">
        <v>0</v>
      </c>
      <c r="H217">
        <v>0</v>
      </c>
      <c r="I217">
        <v>3.9100000858306898</v>
      </c>
      <c r="J217">
        <v>5.9999998658895499E-2</v>
      </c>
      <c r="K217">
        <v>0</v>
      </c>
      <c r="L217">
        <v>0</v>
      </c>
      <c r="M217">
        <v>145</v>
      </c>
      <c r="N217">
        <v>1295</v>
      </c>
      <c r="O217">
        <v>2259</v>
      </c>
      <c r="P217" s="3" t="str" cm="1">
        <f t="array" ref="P217">_xlfn.XLOOKUP(A217&amp;B217,'[1]Daily Sleep'!$A$2:$A$468&amp;'[1]Daily Sleep'!$B$2:$B$468,'[1]Daily Sleep'!$D$2:$D$468,"")</f>
        <v/>
      </c>
      <c r="Q217" t="str">
        <f t="shared" si="6"/>
        <v>Wednesday</v>
      </c>
      <c r="R217" t="str">
        <f t="shared" si="7"/>
        <v>Weekday</v>
      </c>
    </row>
    <row r="218" spans="1:18" x14ac:dyDescent="0.35">
      <c r="A218">
        <v>4057192912</v>
      </c>
      <c r="B218" s="1">
        <v>42460</v>
      </c>
      <c r="C218">
        <v>0</v>
      </c>
      <c r="D218">
        <v>0</v>
      </c>
      <c r="E218">
        <v>0</v>
      </c>
      <c r="F218">
        <v>0</v>
      </c>
      <c r="G218">
        <v>0</v>
      </c>
      <c r="H218">
        <v>0</v>
      </c>
      <c r="I218">
        <v>0</v>
      </c>
      <c r="J218">
        <v>0</v>
      </c>
      <c r="K218">
        <v>0</v>
      </c>
      <c r="L218">
        <v>0</v>
      </c>
      <c r="M218">
        <v>0</v>
      </c>
      <c r="N218">
        <v>1440</v>
      </c>
      <c r="O218">
        <v>1776</v>
      </c>
      <c r="P218" s="3" t="str" cm="1">
        <f t="array" ref="P218">_xlfn.XLOOKUP(A218&amp;B218,'[1]Daily Sleep'!$A$2:$A$468&amp;'[1]Daily Sleep'!$B$2:$B$468,'[1]Daily Sleep'!$D$2:$D$468,"")</f>
        <v/>
      </c>
      <c r="Q218" t="str">
        <f t="shared" si="6"/>
        <v>Thursday</v>
      </c>
      <c r="R218" t="str">
        <f t="shared" si="7"/>
        <v>Weekend</v>
      </c>
    </row>
    <row r="219" spans="1:18" x14ac:dyDescent="0.35">
      <c r="A219">
        <v>4057192912</v>
      </c>
      <c r="B219" s="1">
        <v>42461</v>
      </c>
      <c r="C219">
        <v>0</v>
      </c>
      <c r="D219">
        <v>0</v>
      </c>
      <c r="E219">
        <v>0</v>
      </c>
      <c r="F219">
        <v>0</v>
      </c>
      <c r="G219">
        <v>0</v>
      </c>
      <c r="H219">
        <v>0</v>
      </c>
      <c r="I219">
        <v>0</v>
      </c>
      <c r="J219">
        <v>0</v>
      </c>
      <c r="K219">
        <v>0</v>
      </c>
      <c r="L219">
        <v>0</v>
      </c>
      <c r="M219">
        <v>0</v>
      </c>
      <c r="N219">
        <v>1440</v>
      </c>
      <c r="O219">
        <v>1776</v>
      </c>
      <c r="P219" s="3" t="str" cm="1">
        <f t="array" ref="P219">_xlfn.XLOOKUP(A219&amp;B219,'[1]Daily Sleep'!$A$2:$A$468&amp;'[1]Daily Sleep'!$B$2:$B$468,'[1]Daily Sleep'!$D$2:$D$468,"")</f>
        <v/>
      </c>
      <c r="Q219" t="str">
        <f t="shared" si="6"/>
        <v>Friday</v>
      </c>
      <c r="R219" t="str">
        <f t="shared" si="7"/>
        <v>Weekend</v>
      </c>
    </row>
    <row r="220" spans="1:18" x14ac:dyDescent="0.35">
      <c r="A220">
        <v>4057192912</v>
      </c>
      <c r="B220" s="1">
        <v>42462</v>
      </c>
      <c r="C220">
        <v>0</v>
      </c>
      <c r="D220">
        <v>0</v>
      </c>
      <c r="E220">
        <v>0</v>
      </c>
      <c r="F220">
        <v>0</v>
      </c>
      <c r="G220">
        <v>0</v>
      </c>
      <c r="H220">
        <v>0</v>
      </c>
      <c r="I220">
        <v>0</v>
      </c>
      <c r="J220">
        <v>0</v>
      </c>
      <c r="K220">
        <v>0</v>
      </c>
      <c r="L220">
        <v>0</v>
      </c>
      <c r="M220">
        <v>0</v>
      </c>
      <c r="N220">
        <v>1440</v>
      </c>
      <c r="O220">
        <v>1776</v>
      </c>
      <c r="P220" s="3" t="str" cm="1">
        <f t="array" ref="P220">_xlfn.XLOOKUP(A220&amp;B220,'[1]Daily Sleep'!$A$2:$A$468&amp;'[1]Daily Sleep'!$B$2:$B$468,'[1]Daily Sleep'!$D$2:$D$468,"")</f>
        <v/>
      </c>
      <c r="Q220" t="str">
        <f t="shared" si="6"/>
        <v>Saturday</v>
      </c>
      <c r="R220" t="str">
        <f t="shared" si="7"/>
        <v>Weekday</v>
      </c>
    </row>
    <row r="221" spans="1:18" x14ac:dyDescent="0.35">
      <c r="A221">
        <v>4057192912</v>
      </c>
      <c r="B221" s="1">
        <v>42463</v>
      </c>
      <c r="C221">
        <v>0</v>
      </c>
      <c r="D221">
        <v>0</v>
      </c>
      <c r="E221">
        <v>0</v>
      </c>
      <c r="F221">
        <v>0</v>
      </c>
      <c r="G221">
        <v>0</v>
      </c>
      <c r="H221">
        <v>0</v>
      </c>
      <c r="I221">
        <v>0</v>
      </c>
      <c r="J221">
        <v>0</v>
      </c>
      <c r="K221">
        <v>0</v>
      </c>
      <c r="L221">
        <v>0</v>
      </c>
      <c r="M221">
        <v>0</v>
      </c>
      <c r="N221">
        <v>1440</v>
      </c>
      <c r="O221">
        <v>1776</v>
      </c>
      <c r="P221" s="3" t="str" cm="1">
        <f t="array" ref="P221">_xlfn.XLOOKUP(A221&amp;B221,'[1]Daily Sleep'!$A$2:$A$468&amp;'[1]Daily Sleep'!$B$2:$B$468,'[1]Daily Sleep'!$D$2:$D$468,"")</f>
        <v/>
      </c>
      <c r="Q221" t="str">
        <f t="shared" si="6"/>
        <v>Sunday</v>
      </c>
      <c r="R221" t="str">
        <f t="shared" si="7"/>
        <v>Weekday</v>
      </c>
    </row>
    <row r="222" spans="1:18" x14ac:dyDescent="0.35">
      <c r="A222">
        <v>4057192912</v>
      </c>
      <c r="B222" s="1">
        <v>42464</v>
      </c>
      <c r="C222">
        <v>0</v>
      </c>
      <c r="D222">
        <v>0</v>
      </c>
      <c r="E222">
        <v>0</v>
      </c>
      <c r="F222">
        <v>0</v>
      </c>
      <c r="G222">
        <v>0</v>
      </c>
      <c r="H222">
        <v>0</v>
      </c>
      <c r="I222">
        <v>0</v>
      </c>
      <c r="J222">
        <v>0</v>
      </c>
      <c r="K222">
        <v>0</v>
      </c>
      <c r="L222">
        <v>0</v>
      </c>
      <c r="M222">
        <v>0</v>
      </c>
      <c r="N222">
        <v>1440</v>
      </c>
      <c r="O222">
        <v>1776</v>
      </c>
      <c r="P222" s="3" t="str" cm="1">
        <f t="array" ref="P222">_xlfn.XLOOKUP(A222&amp;B222,'[1]Daily Sleep'!$A$2:$A$468&amp;'[1]Daily Sleep'!$B$2:$B$468,'[1]Daily Sleep'!$D$2:$D$468,"")</f>
        <v/>
      </c>
      <c r="Q222" t="str">
        <f t="shared" si="6"/>
        <v>Monday</v>
      </c>
      <c r="R222" t="str">
        <f t="shared" si="7"/>
        <v>Weekday</v>
      </c>
    </row>
    <row r="223" spans="1:18" x14ac:dyDescent="0.35">
      <c r="A223">
        <v>4057192912</v>
      </c>
      <c r="B223" s="1">
        <v>42465</v>
      </c>
      <c r="C223">
        <v>0</v>
      </c>
      <c r="D223">
        <v>0</v>
      </c>
      <c r="E223">
        <v>0</v>
      </c>
      <c r="F223">
        <v>0</v>
      </c>
      <c r="G223">
        <v>0</v>
      </c>
      <c r="H223">
        <v>0</v>
      </c>
      <c r="I223">
        <v>0</v>
      </c>
      <c r="J223">
        <v>0</v>
      </c>
      <c r="K223">
        <v>0</v>
      </c>
      <c r="L223">
        <v>0</v>
      </c>
      <c r="M223">
        <v>0</v>
      </c>
      <c r="N223">
        <v>1440</v>
      </c>
      <c r="O223">
        <v>1776</v>
      </c>
      <c r="P223" s="3" t="str" cm="1">
        <f t="array" ref="P223">_xlfn.XLOOKUP(A223&amp;B223,'[1]Daily Sleep'!$A$2:$A$468&amp;'[1]Daily Sleep'!$B$2:$B$468,'[1]Daily Sleep'!$D$2:$D$468,"")</f>
        <v/>
      </c>
      <c r="Q223" t="str">
        <f t="shared" si="6"/>
        <v>Tuesday</v>
      </c>
      <c r="R223" t="str">
        <f t="shared" si="7"/>
        <v>Weekday</v>
      </c>
    </row>
    <row r="224" spans="1:18" x14ac:dyDescent="0.35">
      <c r="A224">
        <v>4057192912</v>
      </c>
      <c r="B224" s="1">
        <v>42466</v>
      </c>
      <c r="C224">
        <v>18</v>
      </c>
      <c r="D224">
        <v>9.9999997764825804E-3</v>
      </c>
      <c r="E224">
        <v>9.9999997764825804E-3</v>
      </c>
      <c r="F224">
        <v>0</v>
      </c>
      <c r="G224">
        <v>0</v>
      </c>
      <c r="H224">
        <v>0</v>
      </c>
      <c r="I224">
        <v>9.9999997764825804E-3</v>
      </c>
      <c r="J224">
        <v>0</v>
      </c>
      <c r="K224">
        <v>0</v>
      </c>
      <c r="L224">
        <v>0</v>
      </c>
      <c r="M224">
        <v>2</v>
      </c>
      <c r="N224">
        <v>1438</v>
      </c>
      <c r="O224">
        <v>1780</v>
      </c>
      <c r="P224" s="3" t="str" cm="1">
        <f t="array" ref="P224">_xlfn.XLOOKUP(A224&amp;B224,'[1]Daily Sleep'!$A$2:$A$468&amp;'[1]Daily Sleep'!$B$2:$B$468,'[1]Daily Sleep'!$D$2:$D$468,"")</f>
        <v/>
      </c>
      <c r="Q224" t="str">
        <f t="shared" si="6"/>
        <v>Wednesday</v>
      </c>
      <c r="R224" t="str">
        <f t="shared" si="7"/>
        <v>Weekday</v>
      </c>
    </row>
    <row r="225" spans="1:18" x14ac:dyDescent="0.35">
      <c r="A225">
        <v>4057192912</v>
      </c>
      <c r="B225" s="1">
        <v>42467</v>
      </c>
      <c r="C225">
        <v>4</v>
      </c>
      <c r="D225">
        <v>0</v>
      </c>
      <c r="E225">
        <v>0</v>
      </c>
      <c r="F225">
        <v>0</v>
      </c>
      <c r="G225">
        <v>0</v>
      </c>
      <c r="H225">
        <v>0</v>
      </c>
      <c r="I225">
        <v>0</v>
      </c>
      <c r="J225">
        <v>0</v>
      </c>
      <c r="K225">
        <v>0</v>
      </c>
      <c r="L225">
        <v>0</v>
      </c>
      <c r="M225">
        <v>1</v>
      </c>
      <c r="N225">
        <v>1439</v>
      </c>
      <c r="O225">
        <v>1778</v>
      </c>
      <c r="P225" s="3" t="str" cm="1">
        <f t="array" ref="P225">_xlfn.XLOOKUP(A225&amp;B225,'[1]Daily Sleep'!$A$2:$A$468&amp;'[1]Daily Sleep'!$B$2:$B$468,'[1]Daily Sleep'!$D$2:$D$468,"")</f>
        <v/>
      </c>
      <c r="Q225" t="str">
        <f t="shared" si="6"/>
        <v>Thursday</v>
      </c>
      <c r="R225" t="str">
        <f t="shared" si="7"/>
        <v>Weekend</v>
      </c>
    </row>
    <row r="226" spans="1:18" x14ac:dyDescent="0.35">
      <c r="A226">
        <v>4057192912</v>
      </c>
      <c r="B226" s="1">
        <v>42468</v>
      </c>
      <c r="C226">
        <v>8426</v>
      </c>
      <c r="D226">
        <v>6.1599998474121103</v>
      </c>
      <c r="E226">
        <v>6.1599998474121103</v>
      </c>
      <c r="F226">
        <v>0</v>
      </c>
      <c r="G226">
        <v>0.129999995231628</v>
      </c>
      <c r="H226">
        <v>5.4899997711181596</v>
      </c>
      <c r="I226">
        <v>0.54000002145767201</v>
      </c>
      <c r="J226">
        <v>0</v>
      </c>
      <c r="K226">
        <v>2</v>
      </c>
      <c r="L226">
        <v>120</v>
      </c>
      <c r="M226">
        <v>25</v>
      </c>
      <c r="N226">
        <v>1293</v>
      </c>
      <c r="O226">
        <v>2360</v>
      </c>
      <c r="P226" s="3" t="str" cm="1">
        <f t="array" ref="P226">_xlfn.XLOOKUP(A226&amp;B226,'[1]Daily Sleep'!$A$2:$A$468&amp;'[1]Daily Sleep'!$B$2:$B$468,'[1]Daily Sleep'!$D$2:$D$468,"")</f>
        <v/>
      </c>
      <c r="Q226" t="str">
        <f t="shared" si="6"/>
        <v>Friday</v>
      </c>
      <c r="R226" t="str">
        <f t="shared" si="7"/>
        <v>Weekend</v>
      </c>
    </row>
    <row r="227" spans="1:18" x14ac:dyDescent="0.35">
      <c r="A227">
        <v>4057192912</v>
      </c>
      <c r="B227" s="1">
        <v>42469</v>
      </c>
      <c r="C227">
        <v>1650</v>
      </c>
      <c r="D227">
        <v>1.21000003814697</v>
      </c>
      <c r="E227">
        <v>1.21000003814697</v>
      </c>
      <c r="F227">
        <v>0</v>
      </c>
      <c r="G227">
        <v>0</v>
      </c>
      <c r="H227">
        <v>0</v>
      </c>
      <c r="I227">
        <v>1.21000003814697</v>
      </c>
      <c r="J227">
        <v>0</v>
      </c>
      <c r="K227">
        <v>0</v>
      </c>
      <c r="L227">
        <v>0</v>
      </c>
      <c r="M227">
        <v>60</v>
      </c>
      <c r="N227">
        <v>1380</v>
      </c>
      <c r="O227">
        <v>1952</v>
      </c>
      <c r="P227" s="3" t="str" cm="1">
        <f t="array" ref="P227">_xlfn.XLOOKUP(A227&amp;B227,'[1]Daily Sleep'!$A$2:$A$468&amp;'[1]Daily Sleep'!$B$2:$B$468,'[1]Daily Sleep'!$D$2:$D$468,"")</f>
        <v/>
      </c>
      <c r="Q227" t="str">
        <f t="shared" si="6"/>
        <v>Saturday</v>
      </c>
      <c r="R227" t="str">
        <f t="shared" si="7"/>
        <v>Weekday</v>
      </c>
    </row>
    <row r="228" spans="1:18" x14ac:dyDescent="0.35">
      <c r="A228">
        <v>4057192912</v>
      </c>
      <c r="B228" s="1">
        <v>42470</v>
      </c>
      <c r="C228">
        <v>3434</v>
      </c>
      <c r="D228">
        <v>2.5099999904632599</v>
      </c>
      <c r="E228">
        <v>2.5099999904632599</v>
      </c>
      <c r="F228">
        <v>0</v>
      </c>
      <c r="G228">
        <v>7.0000000298023196E-2</v>
      </c>
      <c r="H228">
        <v>0.30000001192092901</v>
      </c>
      <c r="I228">
        <v>2.1400001049041699</v>
      </c>
      <c r="J228">
        <v>0</v>
      </c>
      <c r="K228">
        <v>1</v>
      </c>
      <c r="L228">
        <v>7</v>
      </c>
      <c r="M228">
        <v>108</v>
      </c>
      <c r="N228">
        <v>1324</v>
      </c>
      <c r="O228">
        <v>2101</v>
      </c>
      <c r="P228" s="3" t="str" cm="1">
        <f t="array" ref="P228">_xlfn.XLOOKUP(A228&amp;B228,'[1]Daily Sleep'!$A$2:$A$468&amp;'[1]Daily Sleep'!$B$2:$B$468,'[1]Daily Sleep'!$D$2:$D$468,"")</f>
        <v/>
      </c>
      <c r="Q228" t="str">
        <f t="shared" si="6"/>
        <v>Sunday</v>
      </c>
      <c r="R228" t="str">
        <f t="shared" si="7"/>
        <v>Weekday</v>
      </c>
    </row>
    <row r="229" spans="1:18" x14ac:dyDescent="0.35">
      <c r="A229">
        <v>4057192912</v>
      </c>
      <c r="B229" s="1">
        <v>42471</v>
      </c>
      <c r="C229">
        <v>6801</v>
      </c>
      <c r="D229">
        <v>4.9800000190734899</v>
      </c>
      <c r="E229">
        <v>4.9800000190734899</v>
      </c>
      <c r="F229">
        <v>0</v>
      </c>
      <c r="G229">
        <v>0</v>
      </c>
      <c r="H229">
        <v>0</v>
      </c>
      <c r="I229">
        <v>4.9699997901916504</v>
      </c>
      <c r="J229">
        <v>0</v>
      </c>
      <c r="K229">
        <v>0</v>
      </c>
      <c r="L229">
        <v>0</v>
      </c>
      <c r="M229">
        <v>193</v>
      </c>
      <c r="N229">
        <v>1247</v>
      </c>
      <c r="O229">
        <v>2393</v>
      </c>
      <c r="P229" s="3" t="str" cm="1">
        <f t="array" ref="P229">_xlfn.XLOOKUP(A229&amp;B229,'[1]Daily Sleep'!$A$2:$A$468&amp;'[1]Daily Sleep'!$B$2:$B$468,'[1]Daily Sleep'!$D$2:$D$468,"")</f>
        <v/>
      </c>
      <c r="Q229" t="str">
        <f t="shared" si="6"/>
        <v>Monday</v>
      </c>
      <c r="R229" t="str">
        <f t="shared" si="7"/>
        <v>Weekday</v>
      </c>
    </row>
    <row r="230" spans="1:18" x14ac:dyDescent="0.35">
      <c r="A230">
        <v>4057192912</v>
      </c>
      <c r="B230" s="1">
        <v>42472</v>
      </c>
      <c r="C230">
        <v>187</v>
      </c>
      <c r="D230">
        <v>0.140000000596046</v>
      </c>
      <c r="E230">
        <v>0.140000000596046</v>
      </c>
      <c r="F230">
        <v>0</v>
      </c>
      <c r="G230">
        <v>0</v>
      </c>
      <c r="H230">
        <v>0</v>
      </c>
      <c r="I230">
        <v>0.140000000596046</v>
      </c>
      <c r="J230">
        <v>0</v>
      </c>
      <c r="K230">
        <v>0</v>
      </c>
      <c r="L230">
        <v>0</v>
      </c>
      <c r="M230">
        <v>11</v>
      </c>
      <c r="N230">
        <v>400</v>
      </c>
      <c r="O230">
        <v>538</v>
      </c>
      <c r="P230" s="3" t="str" cm="1">
        <f t="array" ref="P230">_xlfn.XLOOKUP(A230&amp;B230,'[1]Daily Sleep'!$A$2:$A$468&amp;'[1]Daily Sleep'!$B$2:$B$468,'[1]Daily Sleep'!$D$2:$D$468,"")</f>
        <v/>
      </c>
      <c r="Q230" t="str">
        <f t="shared" si="6"/>
        <v>Tuesday</v>
      </c>
      <c r="R230" t="str">
        <f t="shared" si="7"/>
        <v>Weekday</v>
      </c>
    </row>
    <row r="231" spans="1:18" x14ac:dyDescent="0.35">
      <c r="A231">
        <v>4319703577</v>
      </c>
      <c r="B231" s="1">
        <v>42458</v>
      </c>
      <c r="C231">
        <v>5643</v>
      </c>
      <c r="D231">
        <v>3.78999996185303</v>
      </c>
      <c r="E231">
        <v>3.78999996185303</v>
      </c>
      <c r="F231">
        <v>0</v>
      </c>
      <c r="G231">
        <v>0.230000004172325</v>
      </c>
      <c r="H231">
        <v>0.33000001311302202</v>
      </c>
      <c r="I231">
        <v>3.2300000190734899</v>
      </c>
      <c r="J231">
        <v>0</v>
      </c>
      <c r="K231">
        <v>3</v>
      </c>
      <c r="L231">
        <v>8</v>
      </c>
      <c r="M231">
        <v>199</v>
      </c>
      <c r="N231">
        <v>683</v>
      </c>
      <c r="O231">
        <v>1958</v>
      </c>
      <c r="P231" s="3" cm="1">
        <f t="array" ref="P231">_xlfn.XLOOKUP(A231&amp;B231,'[1]Daily Sleep'!$A$2:$A$468&amp;'[1]Daily Sleep'!$B$2:$B$468,'[1]Daily Sleep'!$D$2:$D$468,"")</f>
        <v>8.5666666666666664</v>
      </c>
      <c r="Q231" t="str">
        <f t="shared" si="6"/>
        <v>Tuesday</v>
      </c>
      <c r="R231" t="str">
        <f t="shared" si="7"/>
        <v>Weekday</v>
      </c>
    </row>
    <row r="232" spans="1:18" x14ac:dyDescent="0.35">
      <c r="A232">
        <v>4319703577</v>
      </c>
      <c r="B232" s="1">
        <v>42459</v>
      </c>
      <c r="C232">
        <v>9043</v>
      </c>
      <c r="D232">
        <v>6.0700001716613796</v>
      </c>
      <c r="E232">
        <v>6.0700001716613796</v>
      </c>
      <c r="F232">
        <v>0</v>
      </c>
      <c r="G232">
        <v>0.25</v>
      </c>
      <c r="H232">
        <v>0.43000000715255698</v>
      </c>
      <c r="I232">
        <v>5.3699998855590803</v>
      </c>
      <c r="J232">
        <v>0</v>
      </c>
      <c r="K232">
        <v>4</v>
      </c>
      <c r="L232">
        <v>12</v>
      </c>
      <c r="M232">
        <v>244</v>
      </c>
      <c r="N232">
        <v>702</v>
      </c>
      <c r="O232">
        <v>2141</v>
      </c>
      <c r="P232" s="3" cm="1">
        <f t="array" ref="P232">_xlfn.XLOOKUP(A232&amp;B232,'[1]Daily Sleep'!$A$2:$A$468&amp;'[1]Daily Sleep'!$B$2:$B$468,'[1]Daily Sleep'!$D$2:$D$468,"")</f>
        <v>7.5666666666666664</v>
      </c>
      <c r="Q232" t="str">
        <f t="shared" si="6"/>
        <v>Wednesday</v>
      </c>
      <c r="R232" t="str">
        <f t="shared" si="7"/>
        <v>Weekday</v>
      </c>
    </row>
    <row r="233" spans="1:18" x14ac:dyDescent="0.35">
      <c r="A233">
        <v>4319703577</v>
      </c>
      <c r="B233" s="1">
        <v>42460</v>
      </c>
      <c r="C233">
        <v>8144</v>
      </c>
      <c r="D233">
        <v>5.46000003814697</v>
      </c>
      <c r="E233">
        <v>5.46000003814697</v>
      </c>
      <c r="F233">
        <v>0</v>
      </c>
      <c r="G233">
        <v>0.25</v>
      </c>
      <c r="H233">
        <v>0.61000001430511497</v>
      </c>
      <c r="I233">
        <v>4.6100001335143999</v>
      </c>
      <c r="J233">
        <v>0</v>
      </c>
      <c r="K233">
        <v>4</v>
      </c>
      <c r="L233">
        <v>17</v>
      </c>
      <c r="M233">
        <v>247</v>
      </c>
      <c r="N233">
        <v>1125</v>
      </c>
      <c r="O233">
        <v>2129</v>
      </c>
      <c r="P233" s="3" cm="1">
        <f t="array" ref="P233">_xlfn.XLOOKUP(A233&amp;B233,'[1]Daily Sleep'!$A$2:$A$468&amp;'[1]Daily Sleep'!$B$2:$B$468,'[1]Daily Sleep'!$D$2:$D$468,"")</f>
        <v>0.6333333333333333</v>
      </c>
      <c r="Q233" t="str">
        <f t="shared" si="6"/>
        <v>Thursday</v>
      </c>
      <c r="R233" t="str">
        <f t="shared" si="7"/>
        <v>Weekend</v>
      </c>
    </row>
    <row r="234" spans="1:18" x14ac:dyDescent="0.35">
      <c r="A234">
        <v>4319703577</v>
      </c>
      <c r="B234" s="1">
        <v>42461</v>
      </c>
      <c r="C234">
        <v>9343</v>
      </c>
      <c r="D234">
        <v>6.2699999809265101</v>
      </c>
      <c r="E234">
        <v>6.2699999809265101</v>
      </c>
      <c r="F234">
        <v>0</v>
      </c>
      <c r="G234">
        <v>0.95999997854232799</v>
      </c>
      <c r="H234">
        <v>0.85000002384185802</v>
      </c>
      <c r="I234">
        <v>4.46000003814697</v>
      </c>
      <c r="J234">
        <v>0</v>
      </c>
      <c r="K234">
        <v>14</v>
      </c>
      <c r="L234">
        <v>20</v>
      </c>
      <c r="M234">
        <v>268</v>
      </c>
      <c r="N234">
        <v>654</v>
      </c>
      <c r="O234">
        <v>2216</v>
      </c>
      <c r="P234" s="3" cm="1">
        <f t="array" ref="P234">_xlfn.XLOOKUP(A234&amp;B234,'[1]Daily Sleep'!$A$2:$A$468&amp;'[1]Daily Sleep'!$B$2:$B$468,'[1]Daily Sleep'!$D$2:$D$468,"")</f>
        <v>7.7666666666666666</v>
      </c>
      <c r="Q234" t="str">
        <f t="shared" si="6"/>
        <v>Friday</v>
      </c>
      <c r="R234" t="str">
        <f t="shared" si="7"/>
        <v>Weekend</v>
      </c>
    </row>
    <row r="235" spans="1:18" x14ac:dyDescent="0.35">
      <c r="A235">
        <v>4319703577</v>
      </c>
      <c r="B235" s="1">
        <v>42462</v>
      </c>
      <c r="C235">
        <v>8405</v>
      </c>
      <c r="D235">
        <v>5.6599998474121103</v>
      </c>
      <c r="E235">
        <v>5.6599998474121103</v>
      </c>
      <c r="F235">
        <v>0</v>
      </c>
      <c r="G235">
        <v>1.12999999523163</v>
      </c>
      <c r="H235">
        <v>0.18999999761581399</v>
      </c>
      <c r="I235">
        <v>4.3400001525878897</v>
      </c>
      <c r="J235">
        <v>0</v>
      </c>
      <c r="K235">
        <v>15</v>
      </c>
      <c r="L235">
        <v>4</v>
      </c>
      <c r="M235">
        <v>257</v>
      </c>
      <c r="N235">
        <v>621</v>
      </c>
      <c r="O235">
        <v>2154</v>
      </c>
      <c r="P235" s="3" cm="1">
        <f t="array" ref="P235">_xlfn.XLOOKUP(A235&amp;B235,'[1]Daily Sleep'!$A$2:$A$468&amp;'[1]Daily Sleep'!$B$2:$B$468,'[1]Daily Sleep'!$D$2:$D$468,"")</f>
        <v>8.8166666666666664</v>
      </c>
      <c r="Q235" t="str">
        <f t="shared" si="6"/>
        <v>Saturday</v>
      </c>
      <c r="R235" t="str">
        <f t="shared" si="7"/>
        <v>Weekday</v>
      </c>
    </row>
    <row r="236" spans="1:18" x14ac:dyDescent="0.35">
      <c r="A236">
        <v>4319703577</v>
      </c>
      <c r="B236" s="1">
        <v>42463</v>
      </c>
      <c r="C236">
        <v>8223</v>
      </c>
      <c r="D236">
        <v>5.5199999809265101</v>
      </c>
      <c r="E236">
        <v>5.5199999809265101</v>
      </c>
      <c r="F236">
        <v>0</v>
      </c>
      <c r="G236">
        <v>0.80000001192092896</v>
      </c>
      <c r="H236">
        <v>1.5099999904632599</v>
      </c>
      <c r="I236">
        <v>3.21000003814697</v>
      </c>
      <c r="J236">
        <v>0</v>
      </c>
      <c r="K236">
        <v>12</v>
      </c>
      <c r="L236">
        <v>37</v>
      </c>
      <c r="M236">
        <v>257</v>
      </c>
      <c r="N236">
        <v>551</v>
      </c>
      <c r="O236">
        <v>2178</v>
      </c>
      <c r="P236" s="3" cm="1">
        <f t="array" ref="P236">_xlfn.XLOOKUP(A236&amp;B236,'[1]Daily Sleep'!$A$2:$A$468&amp;'[1]Daily Sleep'!$B$2:$B$468,'[1]Daily Sleep'!$D$2:$D$468,"")</f>
        <v>9.4666666666666668</v>
      </c>
      <c r="Q236" t="str">
        <f t="shared" si="6"/>
        <v>Sunday</v>
      </c>
      <c r="R236" t="str">
        <f t="shared" si="7"/>
        <v>Weekday</v>
      </c>
    </row>
    <row r="237" spans="1:18" x14ac:dyDescent="0.35">
      <c r="A237">
        <v>4319703577</v>
      </c>
      <c r="B237" s="1">
        <v>42464</v>
      </c>
      <c r="C237">
        <v>10067</v>
      </c>
      <c r="D237">
        <v>6.7600002288818404</v>
      </c>
      <c r="E237">
        <v>6.7600002288818404</v>
      </c>
      <c r="F237">
        <v>0</v>
      </c>
      <c r="G237">
        <v>0.36000001430511502</v>
      </c>
      <c r="H237">
        <v>1.41999995708466</v>
      </c>
      <c r="I237">
        <v>4.9699997901916504</v>
      </c>
      <c r="J237">
        <v>0</v>
      </c>
      <c r="K237">
        <v>5</v>
      </c>
      <c r="L237">
        <v>39</v>
      </c>
      <c r="M237">
        <v>313</v>
      </c>
      <c r="N237">
        <v>578</v>
      </c>
      <c r="O237">
        <v>2308</v>
      </c>
      <c r="P237" s="3" cm="1">
        <f t="array" ref="P237">_xlfn.XLOOKUP(A237&amp;B237,'[1]Daily Sleep'!$A$2:$A$468&amp;'[1]Daily Sleep'!$B$2:$B$468,'[1]Daily Sleep'!$D$2:$D$468,"")</f>
        <v>7.8833333333333337</v>
      </c>
      <c r="Q237" t="str">
        <f t="shared" si="6"/>
        <v>Monday</v>
      </c>
      <c r="R237" t="str">
        <f t="shared" si="7"/>
        <v>Weekday</v>
      </c>
    </row>
    <row r="238" spans="1:18" x14ac:dyDescent="0.35">
      <c r="A238">
        <v>4319703577</v>
      </c>
      <c r="B238" s="1">
        <v>42465</v>
      </c>
      <c r="C238">
        <v>8359</v>
      </c>
      <c r="D238">
        <v>5.6300001144409197</v>
      </c>
      <c r="E238">
        <v>5.6300001144409197</v>
      </c>
      <c r="F238">
        <v>0</v>
      </c>
      <c r="G238">
        <v>0.230000004172325</v>
      </c>
      <c r="H238">
        <v>0.52999997138977095</v>
      </c>
      <c r="I238">
        <v>4.8699998855590803</v>
      </c>
      <c r="J238">
        <v>0</v>
      </c>
      <c r="K238">
        <v>3</v>
      </c>
      <c r="L238">
        <v>14</v>
      </c>
      <c r="M238">
        <v>311</v>
      </c>
      <c r="N238">
        <v>638</v>
      </c>
      <c r="O238">
        <v>2201</v>
      </c>
      <c r="P238" s="3" cm="1">
        <f t="array" ref="P238">_xlfn.XLOOKUP(A238&amp;B238,'[1]Daily Sleep'!$A$2:$A$468&amp;'[1]Daily Sleep'!$B$2:$B$468,'[1]Daily Sleep'!$D$2:$D$468,"")</f>
        <v>7.5</v>
      </c>
      <c r="Q238" t="str">
        <f t="shared" si="6"/>
        <v>Tuesday</v>
      </c>
      <c r="R238" t="str">
        <f t="shared" si="7"/>
        <v>Weekday</v>
      </c>
    </row>
    <row r="239" spans="1:18" x14ac:dyDescent="0.35">
      <c r="A239">
        <v>4319703577</v>
      </c>
      <c r="B239" s="1">
        <v>42466</v>
      </c>
      <c r="C239">
        <v>10946</v>
      </c>
      <c r="D239">
        <v>7.3499999046325701</v>
      </c>
      <c r="E239">
        <v>7.3499999046325701</v>
      </c>
      <c r="F239">
        <v>0</v>
      </c>
      <c r="G239">
        <v>0.54000002145767201</v>
      </c>
      <c r="H239">
        <v>2.0899999141693102</v>
      </c>
      <c r="I239">
        <v>4.7199997901916504</v>
      </c>
      <c r="J239">
        <v>0</v>
      </c>
      <c r="K239">
        <v>8</v>
      </c>
      <c r="L239">
        <v>51</v>
      </c>
      <c r="M239">
        <v>308</v>
      </c>
      <c r="N239">
        <v>569</v>
      </c>
      <c r="O239">
        <v>2341</v>
      </c>
      <c r="P239" s="3" cm="1">
        <f t="array" ref="P239">_xlfn.XLOOKUP(A239&amp;B239,'[1]Daily Sleep'!$A$2:$A$468&amp;'[1]Daily Sleep'!$B$2:$B$468,'[1]Daily Sleep'!$D$2:$D$468,"")</f>
        <v>7.833333333333333</v>
      </c>
      <c r="Q239" t="str">
        <f t="shared" si="6"/>
        <v>Wednesday</v>
      </c>
      <c r="R239" t="str">
        <f t="shared" si="7"/>
        <v>Weekday</v>
      </c>
    </row>
    <row r="240" spans="1:18" x14ac:dyDescent="0.35">
      <c r="A240">
        <v>4319703577</v>
      </c>
      <c r="B240" s="1">
        <v>42467</v>
      </c>
      <c r="C240">
        <v>9130</v>
      </c>
      <c r="D240">
        <v>6.1500000953674299</v>
      </c>
      <c r="E240">
        <v>6.1500000953674299</v>
      </c>
      <c r="F240">
        <v>0</v>
      </c>
      <c r="G240">
        <v>0.5</v>
      </c>
      <c r="H240">
        <v>0.37999999523162797</v>
      </c>
      <c r="I240">
        <v>5.2699999809265101</v>
      </c>
      <c r="J240">
        <v>0</v>
      </c>
      <c r="K240">
        <v>7</v>
      </c>
      <c r="L240">
        <v>11</v>
      </c>
      <c r="M240">
        <v>304</v>
      </c>
      <c r="N240">
        <v>668</v>
      </c>
      <c r="O240">
        <v>2236</v>
      </c>
      <c r="P240" s="3" cm="1">
        <f t="array" ref="P240">_xlfn.XLOOKUP(A240&amp;B240,'[1]Daily Sleep'!$A$2:$A$468&amp;'[1]Daily Sleep'!$B$2:$B$468,'[1]Daily Sleep'!$D$2:$D$468,"")</f>
        <v>7.2166666666666668</v>
      </c>
      <c r="Q240" t="str">
        <f t="shared" si="6"/>
        <v>Thursday</v>
      </c>
      <c r="R240" t="str">
        <f t="shared" si="7"/>
        <v>Weekend</v>
      </c>
    </row>
    <row r="241" spans="1:18" x14ac:dyDescent="0.35">
      <c r="A241">
        <v>4319703577</v>
      </c>
      <c r="B241" s="1">
        <v>42468</v>
      </c>
      <c r="C241">
        <v>6544</v>
      </c>
      <c r="D241">
        <v>4.4099998474121103</v>
      </c>
      <c r="E241">
        <v>4.4099998474121103</v>
      </c>
      <c r="F241">
        <v>0</v>
      </c>
      <c r="G241">
        <v>0.28999999165535001</v>
      </c>
      <c r="H241">
        <v>0.259999990463257</v>
      </c>
      <c r="I241">
        <v>3.8599998950958301</v>
      </c>
      <c r="J241">
        <v>0</v>
      </c>
      <c r="K241">
        <v>4</v>
      </c>
      <c r="L241">
        <v>6</v>
      </c>
      <c r="M241">
        <v>276</v>
      </c>
      <c r="N241">
        <v>1132</v>
      </c>
      <c r="O241">
        <v>2069</v>
      </c>
      <c r="P241" s="3" t="str" cm="1">
        <f t="array" ref="P241">_xlfn.XLOOKUP(A241&amp;B241,'[1]Daily Sleep'!$A$2:$A$468&amp;'[1]Daily Sleep'!$B$2:$B$468,'[1]Daily Sleep'!$D$2:$D$468,"")</f>
        <v/>
      </c>
      <c r="Q241" t="str">
        <f t="shared" si="6"/>
        <v>Friday</v>
      </c>
      <c r="R241" t="str">
        <f t="shared" si="7"/>
        <v>Weekend</v>
      </c>
    </row>
    <row r="242" spans="1:18" x14ac:dyDescent="0.35">
      <c r="A242">
        <v>4319703577</v>
      </c>
      <c r="B242" s="1">
        <v>42469</v>
      </c>
      <c r="C242">
        <v>0</v>
      </c>
      <c r="D242">
        <v>0</v>
      </c>
      <c r="E242">
        <v>0</v>
      </c>
      <c r="F242">
        <v>0</v>
      </c>
      <c r="G242">
        <v>0</v>
      </c>
      <c r="H242">
        <v>0</v>
      </c>
      <c r="I242">
        <v>0</v>
      </c>
      <c r="J242">
        <v>0</v>
      </c>
      <c r="K242">
        <v>0</v>
      </c>
      <c r="L242">
        <v>0</v>
      </c>
      <c r="M242">
        <v>0</v>
      </c>
      <c r="N242">
        <v>1440</v>
      </c>
      <c r="O242">
        <v>0</v>
      </c>
      <c r="P242" s="3" t="str" cm="1">
        <f t="array" ref="P242">_xlfn.XLOOKUP(A242&amp;B242,'[1]Daily Sleep'!$A$2:$A$468&amp;'[1]Daily Sleep'!$B$2:$B$468,'[1]Daily Sleep'!$D$2:$D$468,"")</f>
        <v/>
      </c>
      <c r="Q242" t="str">
        <f t="shared" si="6"/>
        <v>Saturday</v>
      </c>
      <c r="R242" t="str">
        <f t="shared" si="7"/>
        <v>Weekday</v>
      </c>
    </row>
    <row r="243" spans="1:18" x14ac:dyDescent="0.35">
      <c r="A243">
        <v>4388161847</v>
      </c>
      <c r="B243" s="1">
        <v>42458</v>
      </c>
      <c r="C243">
        <v>0</v>
      </c>
      <c r="D243">
        <v>0</v>
      </c>
      <c r="E243">
        <v>0</v>
      </c>
      <c r="F243">
        <v>0</v>
      </c>
      <c r="G243">
        <v>0</v>
      </c>
      <c r="H243">
        <v>0</v>
      </c>
      <c r="I243">
        <v>0</v>
      </c>
      <c r="J243">
        <v>0</v>
      </c>
      <c r="K243">
        <v>0</v>
      </c>
      <c r="L243">
        <v>0</v>
      </c>
      <c r="M243">
        <v>0</v>
      </c>
      <c r="N243">
        <v>1440</v>
      </c>
      <c r="O243">
        <v>1878</v>
      </c>
      <c r="P243" s="3" t="str" cm="1">
        <f t="array" ref="P243">_xlfn.XLOOKUP(A243&amp;B243,'[1]Daily Sleep'!$A$2:$A$468&amp;'[1]Daily Sleep'!$B$2:$B$468,'[1]Daily Sleep'!$D$2:$D$468,"")</f>
        <v/>
      </c>
      <c r="Q243" t="str">
        <f t="shared" si="6"/>
        <v>Tuesday</v>
      </c>
      <c r="R243" t="str">
        <f t="shared" si="7"/>
        <v>Weekday</v>
      </c>
    </row>
    <row r="244" spans="1:18" x14ac:dyDescent="0.35">
      <c r="A244">
        <v>4388161847</v>
      </c>
      <c r="B244" s="1">
        <v>42459</v>
      </c>
      <c r="C244">
        <v>0</v>
      </c>
      <c r="D244">
        <v>0</v>
      </c>
      <c r="E244">
        <v>0</v>
      </c>
      <c r="F244">
        <v>0</v>
      </c>
      <c r="G244">
        <v>0</v>
      </c>
      <c r="H244">
        <v>0</v>
      </c>
      <c r="I244">
        <v>0</v>
      </c>
      <c r="J244">
        <v>0</v>
      </c>
      <c r="K244">
        <v>0</v>
      </c>
      <c r="L244">
        <v>0</v>
      </c>
      <c r="M244">
        <v>0</v>
      </c>
      <c r="N244">
        <v>1440</v>
      </c>
      <c r="O244">
        <v>1878</v>
      </c>
      <c r="P244" s="3" t="str" cm="1">
        <f t="array" ref="P244">_xlfn.XLOOKUP(A244&amp;B244,'[1]Daily Sleep'!$A$2:$A$468&amp;'[1]Daily Sleep'!$B$2:$B$468,'[1]Daily Sleep'!$D$2:$D$468,"")</f>
        <v/>
      </c>
      <c r="Q244" t="str">
        <f t="shared" si="6"/>
        <v>Wednesday</v>
      </c>
      <c r="R244" t="str">
        <f t="shared" si="7"/>
        <v>Weekday</v>
      </c>
    </row>
    <row r="245" spans="1:18" x14ac:dyDescent="0.35">
      <c r="A245">
        <v>4388161847</v>
      </c>
      <c r="B245" s="1">
        <v>42460</v>
      </c>
      <c r="C245">
        <v>0</v>
      </c>
      <c r="D245">
        <v>0</v>
      </c>
      <c r="E245">
        <v>0</v>
      </c>
      <c r="F245">
        <v>0</v>
      </c>
      <c r="G245">
        <v>0</v>
      </c>
      <c r="H245">
        <v>0</v>
      </c>
      <c r="I245">
        <v>0</v>
      </c>
      <c r="J245">
        <v>0</v>
      </c>
      <c r="K245">
        <v>0</v>
      </c>
      <c r="L245">
        <v>0</v>
      </c>
      <c r="M245">
        <v>0</v>
      </c>
      <c r="N245">
        <v>1440</v>
      </c>
      <c r="O245">
        <v>1878</v>
      </c>
      <c r="P245" s="3" t="str" cm="1">
        <f t="array" ref="P245">_xlfn.XLOOKUP(A245&amp;B245,'[1]Daily Sleep'!$A$2:$A$468&amp;'[1]Daily Sleep'!$B$2:$B$468,'[1]Daily Sleep'!$D$2:$D$468,"")</f>
        <v/>
      </c>
      <c r="Q245" t="str">
        <f t="shared" si="6"/>
        <v>Thursday</v>
      </c>
      <c r="R245" t="str">
        <f t="shared" si="7"/>
        <v>Weekend</v>
      </c>
    </row>
    <row r="246" spans="1:18" x14ac:dyDescent="0.35">
      <c r="A246">
        <v>4388161847</v>
      </c>
      <c r="B246" s="1">
        <v>42461</v>
      </c>
      <c r="C246">
        <v>0</v>
      </c>
      <c r="D246">
        <v>0</v>
      </c>
      <c r="E246">
        <v>0</v>
      </c>
      <c r="F246">
        <v>0</v>
      </c>
      <c r="G246">
        <v>0</v>
      </c>
      <c r="H246">
        <v>0</v>
      </c>
      <c r="I246">
        <v>0</v>
      </c>
      <c r="J246">
        <v>0</v>
      </c>
      <c r="K246">
        <v>0</v>
      </c>
      <c r="L246">
        <v>0</v>
      </c>
      <c r="M246">
        <v>0</v>
      </c>
      <c r="N246">
        <v>1440</v>
      </c>
      <c r="O246">
        <v>1878</v>
      </c>
      <c r="P246" s="3" t="str" cm="1">
        <f t="array" ref="P246">_xlfn.XLOOKUP(A246&amp;B246,'[1]Daily Sleep'!$A$2:$A$468&amp;'[1]Daily Sleep'!$B$2:$B$468,'[1]Daily Sleep'!$D$2:$D$468,"")</f>
        <v/>
      </c>
      <c r="Q246" t="str">
        <f t="shared" si="6"/>
        <v>Friday</v>
      </c>
      <c r="R246" t="str">
        <f t="shared" si="7"/>
        <v>Weekend</v>
      </c>
    </row>
    <row r="247" spans="1:18" x14ac:dyDescent="0.35">
      <c r="A247">
        <v>4388161847</v>
      </c>
      <c r="B247" s="1">
        <v>42462</v>
      </c>
      <c r="C247">
        <v>0</v>
      </c>
      <c r="D247">
        <v>0</v>
      </c>
      <c r="E247">
        <v>0</v>
      </c>
      <c r="F247">
        <v>0</v>
      </c>
      <c r="G247">
        <v>0</v>
      </c>
      <c r="H247">
        <v>0</v>
      </c>
      <c r="I247">
        <v>0</v>
      </c>
      <c r="J247">
        <v>0</v>
      </c>
      <c r="K247">
        <v>0</v>
      </c>
      <c r="L247">
        <v>0</v>
      </c>
      <c r="M247">
        <v>0</v>
      </c>
      <c r="N247">
        <v>1440</v>
      </c>
      <c r="O247">
        <v>1878</v>
      </c>
      <c r="P247" s="3" t="str" cm="1">
        <f t="array" ref="P247">_xlfn.XLOOKUP(A247&amp;B247,'[1]Daily Sleep'!$A$2:$A$468&amp;'[1]Daily Sleep'!$B$2:$B$468,'[1]Daily Sleep'!$D$2:$D$468,"")</f>
        <v/>
      </c>
      <c r="Q247" t="str">
        <f t="shared" si="6"/>
        <v>Saturday</v>
      </c>
      <c r="R247" t="str">
        <f t="shared" si="7"/>
        <v>Weekday</v>
      </c>
    </row>
    <row r="248" spans="1:18" x14ac:dyDescent="0.35">
      <c r="A248">
        <v>4388161847</v>
      </c>
      <c r="B248" s="1">
        <v>42463</v>
      </c>
      <c r="C248">
        <v>0</v>
      </c>
      <c r="D248">
        <v>0</v>
      </c>
      <c r="E248">
        <v>0</v>
      </c>
      <c r="F248">
        <v>0</v>
      </c>
      <c r="G248">
        <v>0</v>
      </c>
      <c r="H248">
        <v>0</v>
      </c>
      <c r="I248">
        <v>0</v>
      </c>
      <c r="J248">
        <v>0</v>
      </c>
      <c r="K248">
        <v>0</v>
      </c>
      <c r="L248">
        <v>0</v>
      </c>
      <c r="M248">
        <v>0</v>
      </c>
      <c r="N248">
        <v>1440</v>
      </c>
      <c r="O248">
        <v>1878</v>
      </c>
      <c r="P248" s="3" t="str" cm="1">
        <f t="array" ref="P248">_xlfn.XLOOKUP(A248&amp;B248,'[1]Daily Sleep'!$A$2:$A$468&amp;'[1]Daily Sleep'!$B$2:$B$468,'[1]Daily Sleep'!$D$2:$D$468,"")</f>
        <v/>
      </c>
      <c r="Q248" t="str">
        <f t="shared" si="6"/>
        <v>Sunday</v>
      </c>
      <c r="R248" t="str">
        <f t="shared" si="7"/>
        <v>Weekday</v>
      </c>
    </row>
    <row r="249" spans="1:18" x14ac:dyDescent="0.35">
      <c r="A249">
        <v>4388161847</v>
      </c>
      <c r="B249" s="1">
        <v>42464</v>
      </c>
      <c r="C249">
        <v>0</v>
      </c>
      <c r="D249">
        <v>0</v>
      </c>
      <c r="E249">
        <v>0</v>
      </c>
      <c r="F249">
        <v>0</v>
      </c>
      <c r="G249">
        <v>0</v>
      </c>
      <c r="H249">
        <v>0</v>
      </c>
      <c r="I249">
        <v>0</v>
      </c>
      <c r="J249">
        <v>0</v>
      </c>
      <c r="K249">
        <v>0</v>
      </c>
      <c r="L249">
        <v>0</v>
      </c>
      <c r="M249">
        <v>0</v>
      </c>
      <c r="N249">
        <v>1440</v>
      </c>
      <c r="O249">
        <v>1878</v>
      </c>
      <c r="P249" s="3" t="str" cm="1">
        <f t="array" ref="P249">_xlfn.XLOOKUP(A249&amp;B249,'[1]Daily Sleep'!$A$2:$A$468&amp;'[1]Daily Sleep'!$B$2:$B$468,'[1]Daily Sleep'!$D$2:$D$468,"")</f>
        <v/>
      </c>
      <c r="Q249" t="str">
        <f t="shared" si="6"/>
        <v>Monday</v>
      </c>
      <c r="R249" t="str">
        <f t="shared" si="7"/>
        <v>Weekday</v>
      </c>
    </row>
    <row r="250" spans="1:18" x14ac:dyDescent="0.35">
      <c r="A250">
        <v>4388161847</v>
      </c>
      <c r="B250" s="1">
        <v>42465</v>
      </c>
      <c r="C250">
        <v>0</v>
      </c>
      <c r="D250">
        <v>0</v>
      </c>
      <c r="E250">
        <v>0</v>
      </c>
      <c r="F250">
        <v>0</v>
      </c>
      <c r="G250">
        <v>0</v>
      </c>
      <c r="H250">
        <v>0</v>
      </c>
      <c r="I250">
        <v>0</v>
      </c>
      <c r="J250">
        <v>0</v>
      </c>
      <c r="K250">
        <v>0</v>
      </c>
      <c r="L250">
        <v>0</v>
      </c>
      <c r="M250">
        <v>0</v>
      </c>
      <c r="N250">
        <v>994</v>
      </c>
      <c r="O250">
        <v>1296</v>
      </c>
      <c r="P250" s="3" t="str" cm="1">
        <f t="array" ref="P250">_xlfn.XLOOKUP(A250&amp;B250,'[1]Daily Sleep'!$A$2:$A$468&amp;'[1]Daily Sleep'!$B$2:$B$468,'[1]Daily Sleep'!$D$2:$D$468,"")</f>
        <v/>
      </c>
      <c r="Q250" t="str">
        <f t="shared" si="6"/>
        <v>Tuesday</v>
      </c>
      <c r="R250" t="str">
        <f t="shared" si="7"/>
        <v>Weekday</v>
      </c>
    </row>
    <row r="251" spans="1:18" x14ac:dyDescent="0.35">
      <c r="A251">
        <v>4445114986</v>
      </c>
      <c r="B251" s="1">
        <v>42458</v>
      </c>
      <c r="C251">
        <v>2303</v>
      </c>
      <c r="D251">
        <v>1.54999995231628</v>
      </c>
      <c r="E251">
        <v>1.54999995231628</v>
      </c>
      <c r="F251">
        <v>0</v>
      </c>
      <c r="G251">
        <v>0</v>
      </c>
      <c r="H251">
        <v>0</v>
      </c>
      <c r="I251">
        <v>1.54999995231628</v>
      </c>
      <c r="J251">
        <v>0</v>
      </c>
      <c r="K251">
        <v>0</v>
      </c>
      <c r="L251">
        <v>0</v>
      </c>
      <c r="M251">
        <v>155</v>
      </c>
      <c r="N251">
        <v>807</v>
      </c>
      <c r="O251">
        <v>2010</v>
      </c>
      <c r="P251" s="3" cm="1">
        <f t="array" ref="P251">_xlfn.XLOOKUP(A251&amp;B251,'[1]Daily Sleep'!$A$2:$A$468&amp;'[1]Daily Sleep'!$B$2:$B$468,'[1]Daily Sleep'!$D$2:$D$468,"")</f>
        <v>7.3666666666666663</v>
      </c>
      <c r="Q251" t="str">
        <f t="shared" si="6"/>
        <v>Tuesday</v>
      </c>
      <c r="R251" t="str">
        <f t="shared" si="7"/>
        <v>Weekday</v>
      </c>
    </row>
    <row r="252" spans="1:18" x14ac:dyDescent="0.35">
      <c r="A252">
        <v>4445114986</v>
      </c>
      <c r="B252" s="1">
        <v>42459</v>
      </c>
      <c r="C252">
        <v>2600</v>
      </c>
      <c r="D252">
        <v>1.7400000095367401</v>
      </c>
      <c r="E252">
        <v>1.7400000095367401</v>
      </c>
      <c r="F252">
        <v>0</v>
      </c>
      <c r="G252">
        <v>0</v>
      </c>
      <c r="H252">
        <v>0</v>
      </c>
      <c r="I252">
        <v>1.7400000095367401</v>
      </c>
      <c r="J252">
        <v>0</v>
      </c>
      <c r="K252">
        <v>0</v>
      </c>
      <c r="L252">
        <v>0</v>
      </c>
      <c r="M252">
        <v>163</v>
      </c>
      <c r="N252">
        <v>1277</v>
      </c>
      <c r="O252">
        <v>2032</v>
      </c>
      <c r="P252" s="3" t="str" cm="1">
        <f t="array" ref="P252">_xlfn.XLOOKUP(A252&amp;B252,'[1]Daily Sleep'!$A$2:$A$468&amp;'[1]Daily Sleep'!$B$2:$B$468,'[1]Daily Sleep'!$D$2:$D$468,"")</f>
        <v/>
      </c>
      <c r="Q252" t="str">
        <f t="shared" si="6"/>
        <v>Wednesday</v>
      </c>
      <c r="R252" t="str">
        <f t="shared" si="7"/>
        <v>Weekday</v>
      </c>
    </row>
    <row r="253" spans="1:18" x14ac:dyDescent="0.35">
      <c r="A253">
        <v>4445114986</v>
      </c>
      <c r="B253" s="1">
        <v>42460</v>
      </c>
      <c r="C253">
        <v>4804</v>
      </c>
      <c r="D253">
        <v>3.2200000286102299</v>
      </c>
      <c r="E253">
        <v>3.2200000286102299</v>
      </c>
      <c r="F253">
        <v>0</v>
      </c>
      <c r="G253">
        <v>0</v>
      </c>
      <c r="H253">
        <v>0</v>
      </c>
      <c r="I253">
        <v>3.2200000286102299</v>
      </c>
      <c r="J253">
        <v>0</v>
      </c>
      <c r="K253">
        <v>0</v>
      </c>
      <c r="L253">
        <v>0</v>
      </c>
      <c r="M253">
        <v>238</v>
      </c>
      <c r="N253">
        <v>786</v>
      </c>
      <c r="O253">
        <v>2227</v>
      </c>
      <c r="P253" s="3" cm="1">
        <f t="array" ref="P253">_xlfn.XLOOKUP(A253&amp;B253,'[1]Daily Sleep'!$A$2:$A$468&amp;'[1]Daily Sleep'!$B$2:$B$468,'[1]Daily Sleep'!$D$2:$D$468,"")</f>
        <v>6</v>
      </c>
      <c r="Q253" t="str">
        <f t="shared" si="6"/>
        <v>Thursday</v>
      </c>
      <c r="R253" t="str">
        <f t="shared" si="7"/>
        <v>Weekend</v>
      </c>
    </row>
    <row r="254" spans="1:18" x14ac:dyDescent="0.35">
      <c r="A254">
        <v>4445114986</v>
      </c>
      <c r="B254" s="1">
        <v>42461</v>
      </c>
      <c r="C254">
        <v>3271</v>
      </c>
      <c r="D254">
        <v>2.1900000572204599</v>
      </c>
      <c r="E254">
        <v>2.1900000572204599</v>
      </c>
      <c r="F254">
        <v>0</v>
      </c>
      <c r="G254">
        <v>0</v>
      </c>
      <c r="H254">
        <v>0</v>
      </c>
      <c r="I254">
        <v>2.1900000572204599</v>
      </c>
      <c r="J254">
        <v>0</v>
      </c>
      <c r="K254">
        <v>0</v>
      </c>
      <c r="L254">
        <v>0</v>
      </c>
      <c r="M254">
        <v>205</v>
      </c>
      <c r="N254">
        <v>898</v>
      </c>
      <c r="O254">
        <v>2133</v>
      </c>
      <c r="P254" s="3" cm="1">
        <f t="array" ref="P254">_xlfn.XLOOKUP(A254&amp;B254,'[1]Daily Sleep'!$A$2:$A$468&amp;'[1]Daily Sleep'!$B$2:$B$468,'[1]Daily Sleep'!$D$2:$D$468,"")</f>
        <v>5.1833333333333336</v>
      </c>
      <c r="Q254" t="str">
        <f t="shared" si="6"/>
        <v>Friday</v>
      </c>
      <c r="R254" t="str">
        <f t="shared" si="7"/>
        <v>Weekend</v>
      </c>
    </row>
    <row r="255" spans="1:18" x14ac:dyDescent="0.35">
      <c r="A255">
        <v>4445114986</v>
      </c>
      <c r="B255" s="1">
        <v>42462</v>
      </c>
      <c r="C255">
        <v>5406</v>
      </c>
      <c r="D255">
        <v>3.6300001144409202</v>
      </c>
      <c r="E255">
        <v>3.6300001144409202</v>
      </c>
      <c r="F255">
        <v>0</v>
      </c>
      <c r="G255">
        <v>0</v>
      </c>
      <c r="H255">
        <v>0</v>
      </c>
      <c r="I255">
        <v>3.6099998950958301</v>
      </c>
      <c r="J255">
        <v>0</v>
      </c>
      <c r="K255">
        <v>0</v>
      </c>
      <c r="L255">
        <v>0</v>
      </c>
      <c r="M255">
        <v>273</v>
      </c>
      <c r="N255">
        <v>672</v>
      </c>
      <c r="O255">
        <v>2317</v>
      </c>
      <c r="P255" s="3" cm="1">
        <f t="array" ref="P255">_xlfn.XLOOKUP(A255&amp;B255,'[1]Daily Sleep'!$A$2:$A$468&amp;'[1]Daily Sleep'!$B$2:$B$468,'[1]Daily Sleep'!$D$2:$D$468,"")</f>
        <v>7.8166666666666664</v>
      </c>
      <c r="Q255" t="str">
        <f t="shared" si="6"/>
        <v>Saturday</v>
      </c>
      <c r="R255" t="str">
        <f t="shared" si="7"/>
        <v>Weekday</v>
      </c>
    </row>
    <row r="256" spans="1:18" x14ac:dyDescent="0.35">
      <c r="A256">
        <v>4445114986</v>
      </c>
      <c r="B256" s="1">
        <v>42463</v>
      </c>
      <c r="C256">
        <v>3146</v>
      </c>
      <c r="D256">
        <v>2.1099998950958301</v>
      </c>
      <c r="E256">
        <v>2.1099998950958301</v>
      </c>
      <c r="F256">
        <v>0</v>
      </c>
      <c r="G256">
        <v>0</v>
      </c>
      <c r="H256">
        <v>0</v>
      </c>
      <c r="I256">
        <v>2.1099998950958301</v>
      </c>
      <c r="J256">
        <v>0</v>
      </c>
      <c r="K256">
        <v>0</v>
      </c>
      <c r="L256">
        <v>0</v>
      </c>
      <c r="M256">
        <v>171</v>
      </c>
      <c r="N256">
        <v>1269</v>
      </c>
      <c r="O256">
        <v>2058</v>
      </c>
      <c r="P256" s="3" t="str" cm="1">
        <f t="array" ref="P256">_xlfn.XLOOKUP(A256&amp;B256,'[1]Daily Sleep'!$A$2:$A$468&amp;'[1]Daily Sleep'!$B$2:$B$468,'[1]Daily Sleep'!$D$2:$D$468,"")</f>
        <v/>
      </c>
      <c r="Q256" t="str">
        <f t="shared" si="6"/>
        <v>Sunday</v>
      </c>
      <c r="R256" t="str">
        <f t="shared" si="7"/>
        <v>Weekday</v>
      </c>
    </row>
    <row r="257" spans="1:18" x14ac:dyDescent="0.35">
      <c r="A257">
        <v>4445114986</v>
      </c>
      <c r="B257" s="1">
        <v>42464</v>
      </c>
      <c r="C257">
        <v>2422</v>
      </c>
      <c r="D257">
        <v>1.62999999523163</v>
      </c>
      <c r="E257">
        <v>1.62999999523163</v>
      </c>
      <c r="F257">
        <v>0</v>
      </c>
      <c r="G257">
        <v>0</v>
      </c>
      <c r="H257">
        <v>0</v>
      </c>
      <c r="I257">
        <v>1.62999999523163</v>
      </c>
      <c r="J257">
        <v>0</v>
      </c>
      <c r="K257">
        <v>0</v>
      </c>
      <c r="L257">
        <v>0</v>
      </c>
      <c r="M257">
        <v>110</v>
      </c>
      <c r="N257">
        <v>1330</v>
      </c>
      <c r="O257">
        <v>1935</v>
      </c>
      <c r="P257" s="3" t="str" cm="1">
        <f t="array" ref="P257">_xlfn.XLOOKUP(A257&amp;B257,'[1]Daily Sleep'!$A$2:$A$468&amp;'[1]Daily Sleep'!$B$2:$B$468,'[1]Daily Sleep'!$D$2:$D$468,"")</f>
        <v/>
      </c>
      <c r="Q257" t="str">
        <f t="shared" si="6"/>
        <v>Monday</v>
      </c>
      <c r="R257" t="str">
        <f t="shared" si="7"/>
        <v>Weekday</v>
      </c>
    </row>
    <row r="258" spans="1:18" x14ac:dyDescent="0.35">
      <c r="A258">
        <v>4445114986</v>
      </c>
      <c r="B258" s="1">
        <v>42465</v>
      </c>
      <c r="C258">
        <v>4239</v>
      </c>
      <c r="D258">
        <v>2.8399999141693102</v>
      </c>
      <c r="E258">
        <v>2.8399999141693102</v>
      </c>
      <c r="F258">
        <v>0</v>
      </c>
      <c r="G258">
        <v>5.9999998658895499E-2</v>
      </c>
      <c r="H258">
        <v>0.239999994635582</v>
      </c>
      <c r="I258">
        <v>2.5299999713897701</v>
      </c>
      <c r="J258">
        <v>0</v>
      </c>
      <c r="K258">
        <v>1</v>
      </c>
      <c r="L258">
        <v>6</v>
      </c>
      <c r="M258">
        <v>235</v>
      </c>
      <c r="N258">
        <v>702</v>
      </c>
      <c r="O258">
        <v>2217</v>
      </c>
      <c r="P258" s="3" cm="1">
        <f t="array" ref="P258">_xlfn.XLOOKUP(A258&amp;B258,'[1]Daily Sleep'!$A$2:$A$468&amp;'[1]Daily Sleep'!$B$2:$B$468,'[1]Daily Sleep'!$D$2:$D$468,"")</f>
        <v>7.75</v>
      </c>
      <c r="Q258" t="str">
        <f t="shared" si="6"/>
        <v>Tuesday</v>
      </c>
      <c r="R258" t="str">
        <f t="shared" si="7"/>
        <v>Weekday</v>
      </c>
    </row>
    <row r="259" spans="1:18" x14ac:dyDescent="0.35">
      <c r="A259">
        <v>4445114986</v>
      </c>
      <c r="B259" s="1">
        <v>42466</v>
      </c>
      <c r="C259">
        <v>6911</v>
      </c>
      <c r="D259">
        <v>4.7800002098083496</v>
      </c>
      <c r="E259">
        <v>4.7800002098083496</v>
      </c>
      <c r="F259">
        <v>0</v>
      </c>
      <c r="G259">
        <v>2.3199999332428001</v>
      </c>
      <c r="H259">
        <v>0.10000000149011599</v>
      </c>
      <c r="I259">
        <v>2.3599998950958301</v>
      </c>
      <c r="J259">
        <v>0</v>
      </c>
      <c r="K259">
        <v>28</v>
      </c>
      <c r="L259">
        <v>2</v>
      </c>
      <c r="M259">
        <v>215</v>
      </c>
      <c r="N259">
        <v>745</v>
      </c>
      <c r="O259">
        <v>2374</v>
      </c>
      <c r="P259" s="3" cm="1">
        <f t="array" ref="P259">_xlfn.XLOOKUP(A259&amp;B259,'[1]Daily Sleep'!$A$2:$A$468&amp;'[1]Daily Sleep'!$B$2:$B$468,'[1]Daily Sleep'!$D$2:$D$468,"")</f>
        <v>7.1833333333333336</v>
      </c>
      <c r="Q259" t="str">
        <f t="shared" ref="Q259:Q322" si="8">TEXT(B259,"dddd")</f>
        <v>Wednesday</v>
      </c>
      <c r="R259" t="str">
        <f t="shared" ref="R259:R322" si="9">IF(OR(WEEKDAY(B260,2)=5,WEEKDAY(B260,2)=6),"Weekend","Weekday")</f>
        <v>Weekday</v>
      </c>
    </row>
    <row r="260" spans="1:18" x14ac:dyDescent="0.35">
      <c r="A260">
        <v>4445114986</v>
      </c>
      <c r="B260" s="1">
        <v>42467</v>
      </c>
      <c r="C260">
        <v>6667</v>
      </c>
      <c r="D260">
        <v>4.6100001335143999</v>
      </c>
      <c r="E260">
        <v>4.6100001335143999</v>
      </c>
      <c r="F260">
        <v>0</v>
      </c>
      <c r="G260">
        <v>2.0199999809265101</v>
      </c>
      <c r="H260">
        <v>5.0000000745058101E-2</v>
      </c>
      <c r="I260">
        <v>2.5499999523162802</v>
      </c>
      <c r="J260">
        <v>0</v>
      </c>
      <c r="K260">
        <v>24</v>
      </c>
      <c r="L260">
        <v>1</v>
      </c>
      <c r="M260">
        <v>208</v>
      </c>
      <c r="N260">
        <v>939</v>
      </c>
      <c r="O260">
        <v>2335</v>
      </c>
      <c r="P260" s="3" cm="1">
        <f t="array" ref="P260">_xlfn.XLOOKUP(A260&amp;B260,'[1]Daily Sleep'!$A$2:$A$468&amp;'[1]Daily Sleep'!$B$2:$B$468,'[1]Daily Sleep'!$D$2:$D$468,"")</f>
        <v>4.3666666666666663</v>
      </c>
      <c r="Q260" t="str">
        <f t="shared" si="8"/>
        <v>Thursday</v>
      </c>
      <c r="R260" t="str">
        <f t="shared" si="9"/>
        <v>Weekend</v>
      </c>
    </row>
    <row r="261" spans="1:18" x14ac:dyDescent="0.35">
      <c r="A261">
        <v>4445114986</v>
      </c>
      <c r="B261" s="1">
        <v>42468</v>
      </c>
      <c r="C261">
        <v>5543</v>
      </c>
      <c r="D261">
        <v>3.7200000286102299</v>
      </c>
      <c r="E261">
        <v>3.7200000286102299</v>
      </c>
      <c r="F261">
        <v>0</v>
      </c>
      <c r="G261">
        <v>0</v>
      </c>
      <c r="H261">
        <v>0</v>
      </c>
      <c r="I261">
        <v>3.7200000286102299</v>
      </c>
      <c r="J261">
        <v>0</v>
      </c>
      <c r="K261">
        <v>0</v>
      </c>
      <c r="L261">
        <v>0</v>
      </c>
      <c r="M261">
        <v>266</v>
      </c>
      <c r="N261">
        <v>941</v>
      </c>
      <c r="O261">
        <v>2303</v>
      </c>
      <c r="P261" s="3" cm="1">
        <f t="array" ref="P261">_xlfn.XLOOKUP(A261&amp;B261,'[1]Daily Sleep'!$A$2:$A$468&amp;'[1]Daily Sleep'!$B$2:$B$468,'[1]Daily Sleep'!$D$2:$D$468,"")</f>
        <v>3.65</v>
      </c>
      <c r="Q261" t="str">
        <f t="shared" si="8"/>
        <v>Friday</v>
      </c>
      <c r="R261" t="str">
        <f t="shared" si="9"/>
        <v>Weekend</v>
      </c>
    </row>
    <row r="262" spans="1:18" x14ac:dyDescent="0.35">
      <c r="A262">
        <v>4445114986</v>
      </c>
      <c r="B262" s="1">
        <v>42469</v>
      </c>
      <c r="C262">
        <v>4195</v>
      </c>
      <c r="D262">
        <v>2.8099999427795401</v>
      </c>
      <c r="E262">
        <v>2.8099999427795401</v>
      </c>
      <c r="F262">
        <v>0</v>
      </c>
      <c r="G262">
        <v>0</v>
      </c>
      <c r="H262">
        <v>0</v>
      </c>
      <c r="I262">
        <v>2.8099999427795401</v>
      </c>
      <c r="J262">
        <v>0</v>
      </c>
      <c r="K262">
        <v>0</v>
      </c>
      <c r="L262">
        <v>0</v>
      </c>
      <c r="M262">
        <v>239</v>
      </c>
      <c r="N262">
        <v>758</v>
      </c>
      <c r="O262">
        <v>2210</v>
      </c>
      <c r="P262" s="3" cm="1">
        <f t="array" ref="P262">_xlfn.XLOOKUP(A262&amp;B262,'[1]Daily Sleep'!$A$2:$A$468&amp;'[1]Daily Sleep'!$B$2:$B$468,'[1]Daily Sleep'!$D$2:$D$468,"")</f>
        <v>6.5166666666666666</v>
      </c>
      <c r="Q262" t="str">
        <f t="shared" si="8"/>
        <v>Saturday</v>
      </c>
      <c r="R262" t="str">
        <f t="shared" si="9"/>
        <v>Weekday</v>
      </c>
    </row>
    <row r="263" spans="1:18" x14ac:dyDescent="0.35">
      <c r="A263">
        <v>4445114986</v>
      </c>
      <c r="B263" s="1">
        <v>42470</v>
      </c>
      <c r="C263">
        <v>6625</v>
      </c>
      <c r="D263">
        <v>4.4499998092651403</v>
      </c>
      <c r="E263">
        <v>4.4499998092651403</v>
      </c>
      <c r="F263">
        <v>0</v>
      </c>
      <c r="G263">
        <v>0</v>
      </c>
      <c r="H263">
        <v>0</v>
      </c>
      <c r="I263">
        <v>4.4499998092651403</v>
      </c>
      <c r="J263">
        <v>0</v>
      </c>
      <c r="K263">
        <v>0</v>
      </c>
      <c r="L263">
        <v>0</v>
      </c>
      <c r="M263">
        <v>316</v>
      </c>
      <c r="N263">
        <v>755</v>
      </c>
      <c r="O263">
        <v>2424</v>
      </c>
      <c r="P263" s="3" cm="1">
        <f t="array" ref="P263">_xlfn.XLOOKUP(A263&amp;B263,'[1]Daily Sleep'!$A$2:$A$468&amp;'[1]Daily Sleep'!$B$2:$B$468,'[1]Daily Sleep'!$D$2:$D$468,"")</f>
        <v>5.7833333333333332</v>
      </c>
      <c r="Q263" t="str">
        <f t="shared" si="8"/>
        <v>Sunday</v>
      </c>
      <c r="R263" t="str">
        <f t="shared" si="9"/>
        <v>Weekday</v>
      </c>
    </row>
    <row r="264" spans="1:18" x14ac:dyDescent="0.35">
      <c r="A264">
        <v>4445114986</v>
      </c>
      <c r="B264" s="1">
        <v>42471</v>
      </c>
      <c r="C264">
        <v>5986</v>
      </c>
      <c r="D264">
        <v>4.1300001144409197</v>
      </c>
      <c r="E264">
        <v>4.1300001144409197</v>
      </c>
      <c r="F264">
        <v>0</v>
      </c>
      <c r="G264">
        <v>1.95000004768372</v>
      </c>
      <c r="H264">
        <v>0.230000004172325</v>
      </c>
      <c r="I264">
        <v>1.95000004768372</v>
      </c>
      <c r="J264">
        <v>0</v>
      </c>
      <c r="K264">
        <v>23</v>
      </c>
      <c r="L264">
        <v>5</v>
      </c>
      <c r="M264">
        <v>195</v>
      </c>
      <c r="N264">
        <v>789</v>
      </c>
      <c r="O264">
        <v>2297</v>
      </c>
      <c r="P264" s="3" cm="1">
        <f t="array" ref="P264">_xlfn.XLOOKUP(A264&amp;B264,'[1]Daily Sleep'!$A$2:$A$468&amp;'[1]Daily Sleep'!$B$2:$B$468,'[1]Daily Sleep'!$D$2:$D$468,"")</f>
        <v>6.583333333333333</v>
      </c>
      <c r="Q264" t="str">
        <f t="shared" si="8"/>
        <v>Monday</v>
      </c>
      <c r="R264" t="str">
        <f t="shared" si="9"/>
        <v>Weekday</v>
      </c>
    </row>
    <row r="265" spans="1:18" x14ac:dyDescent="0.35">
      <c r="A265">
        <v>4445114986</v>
      </c>
      <c r="B265" s="1">
        <v>42472</v>
      </c>
      <c r="C265">
        <v>278</v>
      </c>
      <c r="D265">
        <v>0.18999999761581399</v>
      </c>
      <c r="E265">
        <v>0.18999999761581399</v>
      </c>
      <c r="F265">
        <v>0</v>
      </c>
      <c r="G265">
        <v>0</v>
      </c>
      <c r="H265">
        <v>0</v>
      </c>
      <c r="I265">
        <v>0.18999999761581399</v>
      </c>
      <c r="J265">
        <v>0</v>
      </c>
      <c r="K265">
        <v>0</v>
      </c>
      <c r="L265">
        <v>0</v>
      </c>
      <c r="M265">
        <v>20</v>
      </c>
      <c r="N265">
        <v>253</v>
      </c>
      <c r="O265">
        <v>745</v>
      </c>
      <c r="P265" s="3" cm="1">
        <f t="array" ref="P265">_xlfn.XLOOKUP(A265&amp;B265,'[1]Daily Sleep'!$A$2:$A$468&amp;'[1]Daily Sleep'!$B$2:$B$468,'[1]Daily Sleep'!$D$2:$D$468,"")</f>
        <v>5.1333333333333337</v>
      </c>
      <c r="Q265" t="str">
        <f t="shared" si="8"/>
        <v>Tuesday</v>
      </c>
      <c r="R265" t="str">
        <f t="shared" si="9"/>
        <v>Weekend</v>
      </c>
    </row>
    <row r="266" spans="1:18" x14ac:dyDescent="0.35">
      <c r="A266">
        <v>4558609924</v>
      </c>
      <c r="B266" s="1">
        <v>42461</v>
      </c>
      <c r="C266">
        <v>5336</v>
      </c>
      <c r="D266">
        <v>3.5299999713897701</v>
      </c>
      <c r="E266">
        <v>3.5299999713897701</v>
      </c>
      <c r="F266">
        <v>0</v>
      </c>
      <c r="G266">
        <v>0</v>
      </c>
      <c r="H266">
        <v>0</v>
      </c>
      <c r="I266">
        <v>3.5299999713897701</v>
      </c>
      <c r="J266">
        <v>0</v>
      </c>
      <c r="K266">
        <v>0</v>
      </c>
      <c r="L266">
        <v>0</v>
      </c>
      <c r="M266">
        <v>258</v>
      </c>
      <c r="N266">
        <v>1182</v>
      </c>
      <c r="O266">
        <v>1902</v>
      </c>
      <c r="P266" s="3" t="str" cm="1">
        <f t="array" ref="P266">_xlfn.XLOOKUP(A266&amp;B266,'[1]Daily Sleep'!$A$2:$A$468&amp;'[1]Daily Sleep'!$B$2:$B$468,'[1]Daily Sleep'!$D$2:$D$468,"")</f>
        <v/>
      </c>
      <c r="Q266" t="str">
        <f t="shared" si="8"/>
        <v>Friday</v>
      </c>
      <c r="R266" t="str">
        <f t="shared" si="9"/>
        <v>Weekend</v>
      </c>
    </row>
    <row r="267" spans="1:18" x14ac:dyDescent="0.35">
      <c r="A267">
        <v>4558609924</v>
      </c>
      <c r="B267" s="1">
        <v>42462</v>
      </c>
      <c r="C267">
        <v>3183</v>
      </c>
      <c r="D267">
        <v>2.0999999046325701</v>
      </c>
      <c r="E267">
        <v>2.0999999046325701</v>
      </c>
      <c r="F267">
        <v>0</v>
      </c>
      <c r="G267">
        <v>0</v>
      </c>
      <c r="H267">
        <v>0</v>
      </c>
      <c r="I267">
        <v>2.0999999046325701</v>
      </c>
      <c r="J267">
        <v>0</v>
      </c>
      <c r="K267">
        <v>0</v>
      </c>
      <c r="L267">
        <v>0</v>
      </c>
      <c r="M267">
        <v>173</v>
      </c>
      <c r="N267">
        <v>1180</v>
      </c>
      <c r="O267">
        <v>1680</v>
      </c>
      <c r="P267" s="3" cm="1">
        <f t="array" ref="P267">_xlfn.XLOOKUP(A267&amp;B267,'[1]Daily Sleep'!$A$2:$A$468&amp;'[1]Daily Sleep'!$B$2:$B$468,'[1]Daily Sleep'!$D$2:$D$468,"")</f>
        <v>1.4333333333333333</v>
      </c>
      <c r="Q267" t="str">
        <f t="shared" si="8"/>
        <v>Saturday</v>
      </c>
      <c r="R267" t="str">
        <f t="shared" si="9"/>
        <v>Weekday</v>
      </c>
    </row>
    <row r="268" spans="1:18" x14ac:dyDescent="0.35">
      <c r="A268">
        <v>4558609924</v>
      </c>
      <c r="B268" s="1">
        <v>42463</v>
      </c>
      <c r="C268">
        <v>6176</v>
      </c>
      <c r="D268">
        <v>4.0799999237060502</v>
      </c>
      <c r="E268">
        <v>4.0799999237060502</v>
      </c>
      <c r="F268">
        <v>0</v>
      </c>
      <c r="G268">
        <v>7.0000000298023196E-2</v>
      </c>
      <c r="H268">
        <v>0.259999990463257</v>
      </c>
      <c r="I268">
        <v>3.75</v>
      </c>
      <c r="J268">
        <v>0</v>
      </c>
      <c r="K268">
        <v>1</v>
      </c>
      <c r="L268">
        <v>7</v>
      </c>
      <c r="M268">
        <v>269</v>
      </c>
      <c r="N268">
        <v>886</v>
      </c>
      <c r="O268">
        <v>1901</v>
      </c>
      <c r="P268" s="3" cm="1">
        <f t="array" ref="P268">_xlfn.XLOOKUP(A268&amp;B268,'[1]Daily Sleep'!$A$2:$A$468&amp;'[1]Daily Sleep'!$B$2:$B$468,'[1]Daily Sleep'!$D$2:$D$468,"")</f>
        <v>4.5666666666666664</v>
      </c>
      <c r="Q268" t="str">
        <f t="shared" si="8"/>
        <v>Sunday</v>
      </c>
      <c r="R268" t="str">
        <f t="shared" si="9"/>
        <v>Weekday</v>
      </c>
    </row>
    <row r="269" spans="1:18" x14ac:dyDescent="0.35">
      <c r="A269">
        <v>4558609924</v>
      </c>
      <c r="B269" s="1">
        <v>42464</v>
      </c>
      <c r="C269">
        <v>8205</v>
      </c>
      <c r="D269">
        <v>5.4200000762939498</v>
      </c>
      <c r="E269">
        <v>5.4200000762939498</v>
      </c>
      <c r="F269">
        <v>0</v>
      </c>
      <c r="G269">
        <v>0</v>
      </c>
      <c r="H269">
        <v>0</v>
      </c>
      <c r="I269">
        <v>5.4200000762939498</v>
      </c>
      <c r="J269">
        <v>0</v>
      </c>
      <c r="K269">
        <v>0</v>
      </c>
      <c r="L269">
        <v>0</v>
      </c>
      <c r="M269">
        <v>367</v>
      </c>
      <c r="N269">
        <v>1073</v>
      </c>
      <c r="O269">
        <v>2078</v>
      </c>
      <c r="P269" s="3" t="str" cm="1">
        <f t="array" ref="P269">_xlfn.XLOOKUP(A269&amp;B269,'[1]Daily Sleep'!$A$2:$A$468&amp;'[1]Daily Sleep'!$B$2:$B$468,'[1]Daily Sleep'!$D$2:$D$468,"")</f>
        <v/>
      </c>
      <c r="Q269" t="str">
        <f t="shared" si="8"/>
        <v>Monday</v>
      </c>
      <c r="R269" t="str">
        <f t="shared" si="9"/>
        <v>Weekday</v>
      </c>
    </row>
    <row r="270" spans="1:18" x14ac:dyDescent="0.35">
      <c r="A270">
        <v>4558609924</v>
      </c>
      <c r="B270" s="1">
        <v>42465</v>
      </c>
      <c r="C270">
        <v>6799</v>
      </c>
      <c r="D270">
        <v>4.4899997711181596</v>
      </c>
      <c r="E270">
        <v>4.4899997711181596</v>
      </c>
      <c r="F270">
        <v>0</v>
      </c>
      <c r="G270">
        <v>1.5900000333786</v>
      </c>
      <c r="H270">
        <v>0.86000001430511497</v>
      </c>
      <c r="I270">
        <v>2.03999996185303</v>
      </c>
      <c r="J270">
        <v>0</v>
      </c>
      <c r="K270">
        <v>24</v>
      </c>
      <c r="L270">
        <v>14</v>
      </c>
      <c r="M270">
        <v>185</v>
      </c>
      <c r="N270">
        <v>1217</v>
      </c>
      <c r="O270">
        <v>1876</v>
      </c>
      <c r="P270" s="3" t="str" cm="1">
        <f t="array" ref="P270">_xlfn.XLOOKUP(A270&amp;B270,'[1]Daily Sleep'!$A$2:$A$468&amp;'[1]Daily Sleep'!$B$2:$B$468,'[1]Daily Sleep'!$D$2:$D$468,"")</f>
        <v/>
      </c>
      <c r="Q270" t="str">
        <f t="shared" si="8"/>
        <v>Tuesday</v>
      </c>
      <c r="R270" t="str">
        <f t="shared" si="9"/>
        <v>Weekday</v>
      </c>
    </row>
    <row r="271" spans="1:18" x14ac:dyDescent="0.35">
      <c r="A271">
        <v>4558609924</v>
      </c>
      <c r="B271" s="1">
        <v>42466</v>
      </c>
      <c r="C271">
        <v>5668</v>
      </c>
      <c r="D271">
        <v>3.75</v>
      </c>
      <c r="E271">
        <v>3.75</v>
      </c>
      <c r="F271">
        <v>0</v>
      </c>
      <c r="G271">
        <v>0</v>
      </c>
      <c r="H271">
        <v>0</v>
      </c>
      <c r="I271">
        <v>3.75</v>
      </c>
      <c r="J271">
        <v>0</v>
      </c>
      <c r="K271">
        <v>0</v>
      </c>
      <c r="L271">
        <v>0</v>
      </c>
      <c r="M271">
        <v>259</v>
      </c>
      <c r="N271">
        <v>1181</v>
      </c>
      <c r="O271">
        <v>1853</v>
      </c>
      <c r="P271" s="3" t="str" cm="1">
        <f t="array" ref="P271">_xlfn.XLOOKUP(A271&amp;B271,'[1]Daily Sleep'!$A$2:$A$468&amp;'[1]Daily Sleep'!$B$2:$B$468,'[1]Daily Sleep'!$D$2:$D$468,"")</f>
        <v/>
      </c>
      <c r="Q271" t="str">
        <f t="shared" si="8"/>
        <v>Wednesday</v>
      </c>
      <c r="R271" t="str">
        <f t="shared" si="9"/>
        <v>Weekday</v>
      </c>
    </row>
    <row r="272" spans="1:18" x14ac:dyDescent="0.35">
      <c r="A272">
        <v>4558609924</v>
      </c>
      <c r="B272" s="1">
        <v>42467</v>
      </c>
      <c r="C272">
        <v>7998</v>
      </c>
      <c r="D272">
        <v>5.28999996185303</v>
      </c>
      <c r="E272">
        <v>5.28999996185303</v>
      </c>
      <c r="F272">
        <v>0</v>
      </c>
      <c r="G272">
        <v>0.50999999046325695</v>
      </c>
      <c r="H272">
        <v>0.25</v>
      </c>
      <c r="I272">
        <v>4.5300002098083496</v>
      </c>
      <c r="J272">
        <v>0</v>
      </c>
      <c r="K272">
        <v>27</v>
      </c>
      <c r="L272">
        <v>12</v>
      </c>
      <c r="M272">
        <v>296</v>
      </c>
      <c r="N272">
        <v>1105</v>
      </c>
      <c r="O272">
        <v>2235</v>
      </c>
      <c r="P272" s="3" t="str" cm="1">
        <f t="array" ref="P272">_xlfn.XLOOKUP(A272&amp;B272,'[1]Daily Sleep'!$A$2:$A$468&amp;'[1]Daily Sleep'!$B$2:$B$468,'[1]Daily Sleep'!$D$2:$D$468,"")</f>
        <v/>
      </c>
      <c r="Q272" t="str">
        <f t="shared" si="8"/>
        <v>Thursday</v>
      </c>
      <c r="R272" t="str">
        <f t="shared" si="9"/>
        <v>Weekend</v>
      </c>
    </row>
    <row r="273" spans="1:18" x14ac:dyDescent="0.35">
      <c r="A273">
        <v>4558609924</v>
      </c>
      <c r="B273" s="1">
        <v>42468</v>
      </c>
      <c r="C273">
        <v>4195</v>
      </c>
      <c r="D273">
        <v>2.7699999809265101</v>
      </c>
      <c r="E273">
        <v>2.7699999809265101</v>
      </c>
      <c r="F273">
        <v>0</v>
      </c>
      <c r="G273">
        <v>0</v>
      </c>
      <c r="H273">
        <v>0</v>
      </c>
      <c r="I273">
        <v>2.7699999809265101</v>
      </c>
      <c r="J273">
        <v>0</v>
      </c>
      <c r="K273">
        <v>0</v>
      </c>
      <c r="L273">
        <v>0</v>
      </c>
      <c r="M273">
        <v>241</v>
      </c>
      <c r="N273">
        <v>1199</v>
      </c>
      <c r="O273">
        <v>1778</v>
      </c>
      <c r="P273" s="3" t="str" cm="1">
        <f t="array" ref="P273">_xlfn.XLOOKUP(A273&amp;B273,'[1]Daily Sleep'!$A$2:$A$468&amp;'[1]Daily Sleep'!$B$2:$B$468,'[1]Daily Sleep'!$D$2:$D$468,"")</f>
        <v/>
      </c>
      <c r="Q273" t="str">
        <f t="shared" si="8"/>
        <v>Friday</v>
      </c>
      <c r="R273" t="str">
        <f t="shared" si="9"/>
        <v>Weekend</v>
      </c>
    </row>
    <row r="274" spans="1:18" x14ac:dyDescent="0.35">
      <c r="A274">
        <v>4558609924</v>
      </c>
      <c r="B274" s="1">
        <v>42469</v>
      </c>
      <c r="C274">
        <v>5512</v>
      </c>
      <c r="D274">
        <v>3.6400001049041699</v>
      </c>
      <c r="E274">
        <v>3.6400001049041699</v>
      </c>
      <c r="F274">
        <v>0</v>
      </c>
      <c r="G274">
        <v>0</v>
      </c>
      <c r="H274">
        <v>0</v>
      </c>
      <c r="I274">
        <v>3.6400001049041699</v>
      </c>
      <c r="J274">
        <v>0</v>
      </c>
      <c r="K274">
        <v>0</v>
      </c>
      <c r="L274">
        <v>0</v>
      </c>
      <c r="M274">
        <v>276</v>
      </c>
      <c r="N274">
        <v>1164</v>
      </c>
      <c r="O274">
        <v>1882</v>
      </c>
      <c r="P274" s="3" t="str" cm="1">
        <f t="array" ref="P274">_xlfn.XLOOKUP(A274&amp;B274,'[1]Daily Sleep'!$A$2:$A$468&amp;'[1]Daily Sleep'!$B$2:$B$468,'[1]Daily Sleep'!$D$2:$D$468,"")</f>
        <v/>
      </c>
      <c r="Q274" t="str">
        <f t="shared" si="8"/>
        <v>Saturday</v>
      </c>
      <c r="R274" t="str">
        <f t="shared" si="9"/>
        <v>Weekday</v>
      </c>
    </row>
    <row r="275" spans="1:18" x14ac:dyDescent="0.35">
      <c r="A275">
        <v>4558609924</v>
      </c>
      <c r="B275" s="1">
        <v>42470</v>
      </c>
      <c r="C275">
        <v>6263</v>
      </c>
      <c r="D275">
        <v>4.1399998664856001</v>
      </c>
      <c r="E275">
        <v>4.1399998664856001</v>
      </c>
      <c r="F275">
        <v>0</v>
      </c>
      <c r="G275">
        <v>0</v>
      </c>
      <c r="H275">
        <v>0</v>
      </c>
      <c r="I275">
        <v>4.1300001144409197</v>
      </c>
      <c r="J275">
        <v>0</v>
      </c>
      <c r="K275">
        <v>0</v>
      </c>
      <c r="L275">
        <v>0</v>
      </c>
      <c r="M275">
        <v>290</v>
      </c>
      <c r="N275">
        <v>1150</v>
      </c>
      <c r="O275">
        <v>1906</v>
      </c>
      <c r="P275" s="3" t="str" cm="1">
        <f t="array" ref="P275">_xlfn.XLOOKUP(A275&amp;B275,'[1]Daily Sleep'!$A$2:$A$468&amp;'[1]Daily Sleep'!$B$2:$B$468,'[1]Daily Sleep'!$D$2:$D$468,"")</f>
        <v/>
      </c>
      <c r="Q275" t="str">
        <f t="shared" si="8"/>
        <v>Sunday</v>
      </c>
      <c r="R275" t="str">
        <f t="shared" si="9"/>
        <v>Weekday</v>
      </c>
    </row>
    <row r="276" spans="1:18" x14ac:dyDescent="0.35">
      <c r="A276">
        <v>4558609924</v>
      </c>
      <c r="B276" s="1">
        <v>42471</v>
      </c>
      <c r="C276">
        <v>8828</v>
      </c>
      <c r="D276">
        <v>5.8400001525878897</v>
      </c>
      <c r="E276">
        <v>5.8400001525878897</v>
      </c>
      <c r="F276">
        <v>0</v>
      </c>
      <c r="G276">
        <v>0</v>
      </c>
      <c r="H276">
        <v>0</v>
      </c>
      <c r="I276">
        <v>5.8400001525878897</v>
      </c>
      <c r="J276">
        <v>0</v>
      </c>
      <c r="K276">
        <v>0</v>
      </c>
      <c r="L276">
        <v>0</v>
      </c>
      <c r="M276">
        <v>308</v>
      </c>
      <c r="N276">
        <v>1132</v>
      </c>
      <c r="O276">
        <v>2149</v>
      </c>
      <c r="P276" s="3" t="str" cm="1">
        <f t="array" ref="P276">_xlfn.XLOOKUP(A276&amp;B276,'[1]Daily Sleep'!$A$2:$A$468&amp;'[1]Daily Sleep'!$B$2:$B$468,'[1]Daily Sleep'!$D$2:$D$468,"")</f>
        <v/>
      </c>
      <c r="Q276" t="str">
        <f t="shared" si="8"/>
        <v>Monday</v>
      </c>
      <c r="R276" t="str">
        <f t="shared" si="9"/>
        <v>Weekday</v>
      </c>
    </row>
    <row r="277" spans="1:18" x14ac:dyDescent="0.35">
      <c r="A277">
        <v>4558609924</v>
      </c>
      <c r="B277" s="1">
        <v>42472</v>
      </c>
      <c r="C277">
        <v>1260</v>
      </c>
      <c r="D277">
        <v>0.82999998331069902</v>
      </c>
      <c r="E277">
        <v>0.82999998331069902</v>
      </c>
      <c r="F277">
        <v>0</v>
      </c>
      <c r="G277">
        <v>0</v>
      </c>
      <c r="H277">
        <v>0</v>
      </c>
      <c r="I277">
        <v>0.81999999284744296</v>
      </c>
      <c r="J277">
        <v>0</v>
      </c>
      <c r="K277">
        <v>0</v>
      </c>
      <c r="L277">
        <v>0</v>
      </c>
      <c r="M277">
        <v>76</v>
      </c>
      <c r="N277">
        <v>555</v>
      </c>
      <c r="O277">
        <v>722</v>
      </c>
      <c r="P277" s="3" t="str" cm="1">
        <f t="array" ref="P277">_xlfn.XLOOKUP(A277&amp;B277,'[1]Daily Sleep'!$A$2:$A$468&amp;'[1]Daily Sleep'!$B$2:$B$468,'[1]Daily Sleep'!$D$2:$D$468,"")</f>
        <v/>
      </c>
      <c r="Q277" t="str">
        <f t="shared" si="8"/>
        <v>Tuesday</v>
      </c>
      <c r="R277" t="str">
        <f t="shared" si="9"/>
        <v>Weekday</v>
      </c>
    </row>
    <row r="278" spans="1:18" x14ac:dyDescent="0.35">
      <c r="A278">
        <v>4702921684</v>
      </c>
      <c r="B278" s="1">
        <v>42458</v>
      </c>
      <c r="C278">
        <v>6506</v>
      </c>
      <c r="D278">
        <v>5.2800002098083496</v>
      </c>
      <c r="E278">
        <v>5.2800002098083496</v>
      </c>
      <c r="F278">
        <v>0</v>
      </c>
      <c r="G278">
        <v>0.33000001311302202</v>
      </c>
      <c r="H278">
        <v>0.270000010728836</v>
      </c>
      <c r="I278">
        <v>4.6700000762939498</v>
      </c>
      <c r="J278">
        <v>0</v>
      </c>
      <c r="K278">
        <v>4</v>
      </c>
      <c r="L278">
        <v>5</v>
      </c>
      <c r="M278">
        <v>241</v>
      </c>
      <c r="N278">
        <v>760</v>
      </c>
      <c r="O278">
        <v>2886</v>
      </c>
      <c r="P278" s="3" cm="1">
        <f t="array" ref="P278">_xlfn.XLOOKUP(A278&amp;B278,'[1]Daily Sleep'!$A$2:$A$468&amp;'[1]Daily Sleep'!$B$2:$B$468,'[1]Daily Sleep'!$D$2:$D$468,"")</f>
        <v>6.8833333333333337</v>
      </c>
      <c r="Q278" t="str">
        <f t="shared" si="8"/>
        <v>Tuesday</v>
      </c>
      <c r="R278" t="str">
        <f t="shared" si="9"/>
        <v>Weekday</v>
      </c>
    </row>
    <row r="279" spans="1:18" x14ac:dyDescent="0.35">
      <c r="A279">
        <v>4702921684</v>
      </c>
      <c r="B279" s="1">
        <v>42459</v>
      </c>
      <c r="C279">
        <v>7583</v>
      </c>
      <c r="D279">
        <v>6.1500000953674299</v>
      </c>
      <c r="E279">
        <v>6.1500000953674299</v>
      </c>
      <c r="F279">
        <v>0</v>
      </c>
      <c r="G279">
        <v>0.25</v>
      </c>
      <c r="H279">
        <v>0.55000001192092896</v>
      </c>
      <c r="I279">
        <v>5.3499999046325701</v>
      </c>
      <c r="J279">
        <v>0</v>
      </c>
      <c r="K279">
        <v>3</v>
      </c>
      <c r="L279">
        <v>13</v>
      </c>
      <c r="M279">
        <v>227</v>
      </c>
      <c r="N279">
        <v>742</v>
      </c>
      <c r="O279">
        <v>2915</v>
      </c>
      <c r="P279" s="3" cm="1">
        <f t="array" ref="P279">_xlfn.XLOOKUP(A279&amp;B279,'[1]Daily Sleep'!$A$2:$A$468&amp;'[1]Daily Sleep'!$B$2:$B$468,'[1]Daily Sleep'!$D$2:$D$468,"")</f>
        <v>7.0166666666666666</v>
      </c>
      <c r="Q279" t="str">
        <f t="shared" si="8"/>
        <v>Wednesday</v>
      </c>
      <c r="R279" t="str">
        <f t="shared" si="9"/>
        <v>Weekday</v>
      </c>
    </row>
    <row r="280" spans="1:18" x14ac:dyDescent="0.35">
      <c r="A280">
        <v>4702921684</v>
      </c>
      <c r="B280" s="1">
        <v>42460</v>
      </c>
      <c r="C280">
        <v>6963</v>
      </c>
      <c r="D280">
        <v>5.6500000953674299</v>
      </c>
      <c r="E280">
        <v>5.6500000953674299</v>
      </c>
      <c r="F280">
        <v>0</v>
      </c>
      <c r="G280">
        <v>0</v>
      </c>
      <c r="H280">
        <v>0</v>
      </c>
      <c r="I280">
        <v>5.6500000953674299</v>
      </c>
      <c r="J280">
        <v>0</v>
      </c>
      <c r="K280">
        <v>0</v>
      </c>
      <c r="L280">
        <v>0</v>
      </c>
      <c r="M280">
        <v>256</v>
      </c>
      <c r="N280">
        <v>759</v>
      </c>
      <c r="O280">
        <v>2895</v>
      </c>
      <c r="P280" s="3" cm="1">
        <f t="array" ref="P280">_xlfn.XLOOKUP(A280&amp;B280,'[1]Daily Sleep'!$A$2:$A$468&amp;'[1]Daily Sleep'!$B$2:$B$468,'[1]Daily Sleep'!$D$2:$D$468,"")</f>
        <v>7</v>
      </c>
      <c r="Q280" t="str">
        <f t="shared" si="8"/>
        <v>Thursday</v>
      </c>
      <c r="R280" t="str">
        <f t="shared" si="9"/>
        <v>Weekend</v>
      </c>
    </row>
    <row r="281" spans="1:18" x14ac:dyDescent="0.35">
      <c r="A281">
        <v>4702921684</v>
      </c>
      <c r="B281" s="1">
        <v>42461</v>
      </c>
      <c r="C281">
        <v>7165</v>
      </c>
      <c r="D281">
        <v>5.8099999427795401</v>
      </c>
      <c r="E281">
        <v>5.8099999427795401</v>
      </c>
      <c r="F281">
        <v>0</v>
      </c>
      <c r="G281">
        <v>0</v>
      </c>
      <c r="H281">
        <v>0.37000000476837203</v>
      </c>
      <c r="I281">
        <v>5.4400000572204599</v>
      </c>
      <c r="J281">
        <v>0</v>
      </c>
      <c r="K281">
        <v>0</v>
      </c>
      <c r="L281">
        <v>9</v>
      </c>
      <c r="M281">
        <v>248</v>
      </c>
      <c r="N281">
        <v>708</v>
      </c>
      <c r="O281">
        <v>2923</v>
      </c>
      <c r="P281" s="3" cm="1">
        <f t="array" ref="P281">_xlfn.XLOOKUP(A281&amp;B281,'[1]Daily Sleep'!$A$2:$A$468&amp;'[1]Daily Sleep'!$B$2:$B$468,'[1]Daily Sleep'!$D$2:$D$468,"")</f>
        <v>7.5666666666666664</v>
      </c>
      <c r="Q281" t="str">
        <f t="shared" si="8"/>
        <v>Friday</v>
      </c>
      <c r="R281" t="str">
        <f t="shared" si="9"/>
        <v>Weekend</v>
      </c>
    </row>
    <row r="282" spans="1:18" x14ac:dyDescent="0.35">
      <c r="A282">
        <v>4702921684</v>
      </c>
      <c r="B282" s="1">
        <v>42462</v>
      </c>
      <c r="C282">
        <v>10328</v>
      </c>
      <c r="D282">
        <v>8.3800001144409197</v>
      </c>
      <c r="E282">
        <v>8.3800001144409197</v>
      </c>
      <c r="F282">
        <v>0</v>
      </c>
      <c r="G282">
        <v>0</v>
      </c>
      <c r="H282">
        <v>1.46000003814697</v>
      </c>
      <c r="I282">
        <v>6.9200000762939498</v>
      </c>
      <c r="J282">
        <v>0</v>
      </c>
      <c r="K282">
        <v>0</v>
      </c>
      <c r="L282">
        <v>32</v>
      </c>
      <c r="M282">
        <v>367</v>
      </c>
      <c r="N282">
        <v>475</v>
      </c>
      <c r="O282">
        <v>3323</v>
      </c>
      <c r="P282" s="3" cm="1">
        <f t="array" ref="P282">_xlfn.XLOOKUP(A282&amp;B282,'[1]Daily Sleep'!$A$2:$A$468&amp;'[1]Daily Sleep'!$B$2:$B$468,'[1]Daily Sleep'!$D$2:$D$468,"")</f>
        <v>8.9666666666666668</v>
      </c>
      <c r="Q282" t="str">
        <f t="shared" si="8"/>
        <v>Saturday</v>
      </c>
      <c r="R282" t="str">
        <f t="shared" si="9"/>
        <v>Weekday</v>
      </c>
    </row>
    <row r="283" spans="1:18" x14ac:dyDescent="0.35">
      <c r="A283">
        <v>4702921684</v>
      </c>
      <c r="B283" s="1">
        <v>42463</v>
      </c>
      <c r="C283">
        <v>12116</v>
      </c>
      <c r="D283">
        <v>9.8299999237060494</v>
      </c>
      <c r="E283">
        <v>9.8299999237060494</v>
      </c>
      <c r="F283">
        <v>0</v>
      </c>
      <c r="G283">
        <v>0.25</v>
      </c>
      <c r="H283">
        <v>2.8499999046325701</v>
      </c>
      <c r="I283">
        <v>6.7199997901916504</v>
      </c>
      <c r="J283">
        <v>0</v>
      </c>
      <c r="K283">
        <v>3</v>
      </c>
      <c r="L283">
        <v>57</v>
      </c>
      <c r="M283">
        <v>323</v>
      </c>
      <c r="N283">
        <v>471</v>
      </c>
      <c r="O283">
        <v>3357</v>
      </c>
      <c r="P283" s="3" cm="1">
        <f t="array" ref="P283">_xlfn.XLOOKUP(A283&amp;B283,'[1]Daily Sleep'!$A$2:$A$468&amp;'[1]Daily Sleep'!$B$2:$B$468,'[1]Daily Sleep'!$D$2:$D$468,"")</f>
        <v>9.3000000000000007</v>
      </c>
      <c r="Q283" t="str">
        <f t="shared" si="8"/>
        <v>Sunday</v>
      </c>
      <c r="R283" t="str">
        <f t="shared" si="9"/>
        <v>Weekday</v>
      </c>
    </row>
    <row r="284" spans="1:18" x14ac:dyDescent="0.35">
      <c r="A284">
        <v>4702921684</v>
      </c>
      <c r="B284" s="1">
        <v>42464</v>
      </c>
      <c r="C284">
        <v>7810</v>
      </c>
      <c r="D284">
        <v>6.3600001335143999</v>
      </c>
      <c r="E284">
        <v>6.3600001335143999</v>
      </c>
      <c r="F284">
        <v>0</v>
      </c>
      <c r="G284">
        <v>0.479999989271164</v>
      </c>
      <c r="H284">
        <v>1.20000004768372</v>
      </c>
      <c r="I284">
        <v>4.6799998283386204</v>
      </c>
      <c r="J284">
        <v>0</v>
      </c>
      <c r="K284">
        <v>6</v>
      </c>
      <c r="L284">
        <v>27</v>
      </c>
      <c r="M284">
        <v>216</v>
      </c>
      <c r="N284">
        <v>746</v>
      </c>
      <c r="O284">
        <v>2931</v>
      </c>
      <c r="P284" s="3" cm="1">
        <f t="array" ref="P284">_xlfn.XLOOKUP(A284&amp;B284,'[1]Daily Sleep'!$A$2:$A$468&amp;'[1]Daily Sleep'!$B$2:$B$468,'[1]Daily Sleep'!$D$2:$D$468,"")</f>
        <v>6.9833333333333334</v>
      </c>
      <c r="Q284" t="str">
        <f t="shared" si="8"/>
        <v>Monday</v>
      </c>
      <c r="R284" t="str">
        <f t="shared" si="9"/>
        <v>Weekday</v>
      </c>
    </row>
    <row r="285" spans="1:18" x14ac:dyDescent="0.35">
      <c r="A285">
        <v>4702921684</v>
      </c>
      <c r="B285" s="1">
        <v>42465</v>
      </c>
      <c r="C285">
        <v>6670</v>
      </c>
      <c r="D285">
        <v>5.4099998474121103</v>
      </c>
      <c r="E285">
        <v>5.4099998474121103</v>
      </c>
      <c r="F285">
        <v>0</v>
      </c>
      <c r="G285">
        <v>1.2400000095367401</v>
      </c>
      <c r="H285">
        <v>0.80000001192092896</v>
      </c>
      <c r="I285">
        <v>3.3699998855590798</v>
      </c>
      <c r="J285">
        <v>0</v>
      </c>
      <c r="K285">
        <v>15</v>
      </c>
      <c r="L285">
        <v>16</v>
      </c>
      <c r="M285">
        <v>199</v>
      </c>
      <c r="N285">
        <v>770</v>
      </c>
      <c r="O285">
        <v>2848</v>
      </c>
      <c r="P285" s="3" cm="1">
        <f t="array" ref="P285">_xlfn.XLOOKUP(A285&amp;B285,'[1]Daily Sleep'!$A$2:$A$468&amp;'[1]Daily Sleep'!$B$2:$B$468,'[1]Daily Sleep'!$D$2:$D$468,"")</f>
        <v>6.7333333333333334</v>
      </c>
      <c r="Q285" t="str">
        <f t="shared" si="8"/>
        <v>Tuesday</v>
      </c>
      <c r="R285" t="str">
        <f t="shared" si="9"/>
        <v>Weekday</v>
      </c>
    </row>
    <row r="286" spans="1:18" x14ac:dyDescent="0.35">
      <c r="A286">
        <v>4702921684</v>
      </c>
      <c r="B286" s="1">
        <v>42466</v>
      </c>
      <c r="C286">
        <v>7605</v>
      </c>
      <c r="D286">
        <v>6.1799998283386204</v>
      </c>
      <c r="E286">
        <v>6.1799998283386204</v>
      </c>
      <c r="F286">
        <v>0</v>
      </c>
      <c r="G286">
        <v>0.33000001311302202</v>
      </c>
      <c r="H286">
        <v>0.20999999344348899</v>
      </c>
      <c r="I286">
        <v>5.6300001144409197</v>
      </c>
      <c r="J286">
        <v>0</v>
      </c>
      <c r="K286">
        <v>4</v>
      </c>
      <c r="L286">
        <v>4</v>
      </c>
      <c r="M286">
        <v>248</v>
      </c>
      <c r="N286">
        <v>708</v>
      </c>
      <c r="O286">
        <v>2943</v>
      </c>
      <c r="P286" s="3" cm="1">
        <f t="array" ref="P286">_xlfn.XLOOKUP(A286&amp;B286,'[1]Daily Sleep'!$A$2:$A$468&amp;'[1]Daily Sleep'!$B$2:$B$468,'[1]Daily Sleep'!$D$2:$D$468,"")</f>
        <v>7.5666666666666664</v>
      </c>
      <c r="Q286" t="str">
        <f t="shared" si="8"/>
        <v>Wednesday</v>
      </c>
      <c r="R286" t="str">
        <f t="shared" si="9"/>
        <v>Weekday</v>
      </c>
    </row>
    <row r="287" spans="1:18" x14ac:dyDescent="0.35">
      <c r="A287">
        <v>4702921684</v>
      </c>
      <c r="B287" s="1">
        <v>42467</v>
      </c>
      <c r="C287">
        <v>6585</v>
      </c>
      <c r="D287">
        <v>5.3400001525878897</v>
      </c>
      <c r="E287">
        <v>5.3400001525878897</v>
      </c>
      <c r="F287">
        <v>0</v>
      </c>
      <c r="G287">
        <v>0</v>
      </c>
      <c r="H287">
        <v>0</v>
      </c>
      <c r="I287">
        <v>5.3400001525878897</v>
      </c>
      <c r="J287">
        <v>0</v>
      </c>
      <c r="K287">
        <v>0</v>
      </c>
      <c r="L287">
        <v>0</v>
      </c>
      <c r="M287">
        <v>210</v>
      </c>
      <c r="N287">
        <v>770</v>
      </c>
      <c r="O287">
        <v>2822</v>
      </c>
      <c r="P287" s="3" cm="1">
        <f t="array" ref="P287">_xlfn.XLOOKUP(A287&amp;B287,'[1]Daily Sleep'!$A$2:$A$468&amp;'[1]Daily Sleep'!$B$2:$B$468,'[1]Daily Sleep'!$D$2:$D$468,"")</f>
        <v>7.4666666666666668</v>
      </c>
      <c r="Q287" t="str">
        <f t="shared" si="8"/>
        <v>Thursday</v>
      </c>
      <c r="R287" t="str">
        <f t="shared" si="9"/>
        <v>Weekend</v>
      </c>
    </row>
    <row r="288" spans="1:18" x14ac:dyDescent="0.35">
      <c r="A288">
        <v>4702921684</v>
      </c>
      <c r="B288" s="1">
        <v>42468</v>
      </c>
      <c r="C288">
        <v>8184</v>
      </c>
      <c r="D288">
        <v>6.6399998664856001</v>
      </c>
      <c r="E288">
        <v>6.6399998664856001</v>
      </c>
      <c r="F288">
        <v>0</v>
      </c>
      <c r="G288">
        <v>0</v>
      </c>
      <c r="H288">
        <v>0.62000000476837203</v>
      </c>
      <c r="I288">
        <v>5.9499998092651403</v>
      </c>
      <c r="J288">
        <v>0</v>
      </c>
      <c r="K288">
        <v>0</v>
      </c>
      <c r="L288">
        <v>15</v>
      </c>
      <c r="M288">
        <v>247</v>
      </c>
      <c r="N288">
        <v>808</v>
      </c>
      <c r="O288">
        <v>2981</v>
      </c>
      <c r="P288" s="3" cm="1">
        <f t="array" ref="P288">_xlfn.XLOOKUP(A288&amp;B288,'[1]Daily Sleep'!$A$2:$A$468&amp;'[1]Daily Sleep'!$B$2:$B$468,'[1]Daily Sleep'!$D$2:$D$468,"")</f>
        <v>5.75</v>
      </c>
      <c r="Q288" t="str">
        <f t="shared" si="8"/>
        <v>Friday</v>
      </c>
      <c r="R288" t="str">
        <f t="shared" si="9"/>
        <v>Weekend</v>
      </c>
    </row>
    <row r="289" spans="1:18" x14ac:dyDescent="0.35">
      <c r="A289">
        <v>4702921684</v>
      </c>
      <c r="B289" s="1">
        <v>42469</v>
      </c>
      <c r="C289">
        <v>14002</v>
      </c>
      <c r="D289">
        <v>11.3599996566772</v>
      </c>
      <c r="E289">
        <v>11.3599996566772</v>
      </c>
      <c r="F289">
        <v>0</v>
      </c>
      <c r="G289">
        <v>0.61000001430511497</v>
      </c>
      <c r="H289">
        <v>2.6800000667571999</v>
      </c>
      <c r="I289">
        <v>8.0600004196166992</v>
      </c>
      <c r="J289">
        <v>0</v>
      </c>
      <c r="K289">
        <v>8</v>
      </c>
      <c r="L289">
        <v>56</v>
      </c>
      <c r="M289">
        <v>381</v>
      </c>
      <c r="N289">
        <v>407</v>
      </c>
      <c r="O289">
        <v>3597</v>
      </c>
      <c r="P289" s="3" cm="1">
        <f t="array" ref="P289">_xlfn.XLOOKUP(A289&amp;B289,'[1]Daily Sleep'!$A$2:$A$468&amp;'[1]Daily Sleep'!$B$2:$B$468,'[1]Daily Sleep'!$D$2:$D$468,"")</f>
        <v>7.083333333333333</v>
      </c>
      <c r="Q289" t="str">
        <f t="shared" si="8"/>
        <v>Saturday</v>
      </c>
      <c r="R289" t="str">
        <f t="shared" si="9"/>
        <v>Weekday</v>
      </c>
    </row>
    <row r="290" spans="1:18" x14ac:dyDescent="0.35">
      <c r="A290">
        <v>4702921684</v>
      </c>
      <c r="B290" s="1">
        <v>42470</v>
      </c>
      <c r="C290">
        <v>11135</v>
      </c>
      <c r="D290">
        <v>9.0299997329711896</v>
      </c>
      <c r="E290">
        <v>9.0299997329711896</v>
      </c>
      <c r="F290">
        <v>0</v>
      </c>
      <c r="G290">
        <v>7.9999998211860698E-2</v>
      </c>
      <c r="H290">
        <v>1.1599999666214</v>
      </c>
      <c r="I290">
        <v>7.78999996185303</v>
      </c>
      <c r="J290">
        <v>0</v>
      </c>
      <c r="K290">
        <v>1</v>
      </c>
      <c r="L290">
        <v>25</v>
      </c>
      <c r="M290">
        <v>331</v>
      </c>
      <c r="N290">
        <v>528</v>
      </c>
      <c r="O290">
        <v>3224</v>
      </c>
      <c r="P290" s="3" cm="1">
        <f t="array" ref="P290">_xlfn.XLOOKUP(A290&amp;B290,'[1]Daily Sleep'!$A$2:$A$468&amp;'[1]Daily Sleep'!$B$2:$B$468,'[1]Daily Sleep'!$D$2:$D$468,"")</f>
        <v>8.8833333333333329</v>
      </c>
      <c r="Q290" t="str">
        <f t="shared" si="8"/>
        <v>Sunday</v>
      </c>
      <c r="R290" t="str">
        <f t="shared" si="9"/>
        <v>Weekday</v>
      </c>
    </row>
    <row r="291" spans="1:18" x14ac:dyDescent="0.35">
      <c r="A291">
        <v>4702921684</v>
      </c>
      <c r="B291" s="1">
        <v>42471</v>
      </c>
      <c r="C291">
        <v>6499</v>
      </c>
      <c r="D291">
        <v>5.2699999809265101</v>
      </c>
      <c r="E291">
        <v>5.2699999809265101</v>
      </c>
      <c r="F291">
        <v>0</v>
      </c>
      <c r="G291">
        <v>0</v>
      </c>
      <c r="H291">
        <v>0</v>
      </c>
      <c r="I291">
        <v>5.2699999809265101</v>
      </c>
      <c r="J291">
        <v>0</v>
      </c>
      <c r="K291">
        <v>0</v>
      </c>
      <c r="L291">
        <v>0</v>
      </c>
      <c r="M291">
        <v>207</v>
      </c>
      <c r="N291">
        <v>809</v>
      </c>
      <c r="O291">
        <v>2677</v>
      </c>
      <c r="P291" s="3" cm="1">
        <f t="array" ref="P291">_xlfn.XLOOKUP(A291&amp;B291,'[1]Daily Sleep'!$A$2:$A$468&amp;'[1]Daily Sleep'!$B$2:$B$468,'[1]Daily Sleep'!$D$2:$D$468,"")</f>
        <v>5.4833333333333334</v>
      </c>
      <c r="Q291" t="str">
        <f t="shared" si="8"/>
        <v>Monday</v>
      </c>
      <c r="R291" t="str">
        <f t="shared" si="9"/>
        <v>Weekday</v>
      </c>
    </row>
    <row r="292" spans="1:18" x14ac:dyDescent="0.35">
      <c r="A292">
        <v>4702921684</v>
      </c>
      <c r="B292" s="1">
        <v>42472</v>
      </c>
      <c r="C292">
        <v>0</v>
      </c>
      <c r="D292">
        <v>0</v>
      </c>
      <c r="E292">
        <v>0</v>
      </c>
      <c r="F292">
        <v>0</v>
      </c>
      <c r="G292">
        <v>0</v>
      </c>
      <c r="H292">
        <v>0</v>
      </c>
      <c r="I292">
        <v>0</v>
      </c>
      <c r="J292">
        <v>0</v>
      </c>
      <c r="K292">
        <v>0</v>
      </c>
      <c r="L292">
        <v>0</v>
      </c>
      <c r="M292">
        <v>0</v>
      </c>
      <c r="N292">
        <v>1440</v>
      </c>
      <c r="O292">
        <v>0</v>
      </c>
      <c r="P292" s="3" t="str" cm="1">
        <f t="array" ref="P292">_xlfn.XLOOKUP(A292&amp;B292,'[1]Daily Sleep'!$A$2:$A$468&amp;'[1]Daily Sleep'!$B$2:$B$468,'[1]Daily Sleep'!$D$2:$D$468,"")</f>
        <v/>
      </c>
      <c r="Q292" t="str">
        <f t="shared" si="8"/>
        <v>Tuesday</v>
      </c>
      <c r="R292" t="str">
        <f t="shared" si="9"/>
        <v>Weekend</v>
      </c>
    </row>
    <row r="293" spans="1:18" x14ac:dyDescent="0.35">
      <c r="A293">
        <v>5553957443</v>
      </c>
      <c r="B293" s="1">
        <v>42461</v>
      </c>
      <c r="C293">
        <v>12409</v>
      </c>
      <c r="D293">
        <v>8.1000003814697301</v>
      </c>
      <c r="E293">
        <v>8.1000003814697301</v>
      </c>
      <c r="F293">
        <v>0</v>
      </c>
      <c r="G293">
        <v>2.9000000953674299</v>
      </c>
      <c r="H293">
        <v>0.62999999523162797</v>
      </c>
      <c r="I293">
        <v>4.5799999237060502</v>
      </c>
      <c r="J293">
        <v>0</v>
      </c>
      <c r="K293">
        <v>51</v>
      </c>
      <c r="L293">
        <v>12</v>
      </c>
      <c r="M293">
        <v>235</v>
      </c>
      <c r="N293">
        <v>782</v>
      </c>
      <c r="O293">
        <v>2142</v>
      </c>
      <c r="P293" s="3" cm="1">
        <f t="array" ref="P293">_xlfn.XLOOKUP(A293&amp;B293,'[1]Daily Sleep'!$A$2:$A$468&amp;'[1]Daily Sleep'!$B$2:$B$468,'[1]Daily Sleep'!$D$2:$D$468,"")</f>
        <v>5.6166666666666663</v>
      </c>
      <c r="Q293" t="str">
        <f t="shared" si="8"/>
        <v>Friday</v>
      </c>
      <c r="R293" t="str">
        <f t="shared" si="9"/>
        <v>Weekend</v>
      </c>
    </row>
    <row r="294" spans="1:18" x14ac:dyDescent="0.35">
      <c r="A294">
        <v>5553957443</v>
      </c>
      <c r="B294" s="1">
        <v>42462</v>
      </c>
      <c r="C294">
        <v>2937</v>
      </c>
      <c r="D294">
        <v>1.91999995708466</v>
      </c>
      <c r="E294">
        <v>1.91999995708466</v>
      </c>
      <c r="F294">
        <v>0</v>
      </c>
      <c r="G294">
        <v>0</v>
      </c>
      <c r="H294">
        <v>0</v>
      </c>
      <c r="I294">
        <v>1.9099999666214</v>
      </c>
      <c r="J294">
        <v>0</v>
      </c>
      <c r="K294">
        <v>0</v>
      </c>
      <c r="L294">
        <v>0</v>
      </c>
      <c r="M294">
        <v>181</v>
      </c>
      <c r="N294">
        <v>356</v>
      </c>
      <c r="O294">
        <v>1615</v>
      </c>
      <c r="P294" s="3" cm="1">
        <f t="array" ref="P294">_xlfn.XLOOKUP(A294&amp;B294,'[1]Daily Sleep'!$A$2:$A$468&amp;'[1]Daily Sleep'!$B$2:$B$468,'[1]Daily Sleep'!$D$2:$D$468,"")</f>
        <v>13.183333333333334</v>
      </c>
      <c r="Q294" t="str">
        <f t="shared" si="8"/>
        <v>Saturday</v>
      </c>
      <c r="R294" t="str">
        <f t="shared" si="9"/>
        <v>Weekday</v>
      </c>
    </row>
    <row r="295" spans="1:18" x14ac:dyDescent="0.35">
      <c r="A295">
        <v>5553957443</v>
      </c>
      <c r="B295" s="1">
        <v>42463</v>
      </c>
      <c r="C295">
        <v>1515</v>
      </c>
      <c r="D295">
        <v>0.99000000953674305</v>
      </c>
      <c r="E295">
        <v>0.99000000953674305</v>
      </c>
      <c r="F295">
        <v>0</v>
      </c>
      <c r="G295">
        <v>0</v>
      </c>
      <c r="H295">
        <v>0</v>
      </c>
      <c r="I295">
        <v>0.99000000953674305</v>
      </c>
      <c r="J295">
        <v>0</v>
      </c>
      <c r="K295">
        <v>0</v>
      </c>
      <c r="L295">
        <v>0</v>
      </c>
      <c r="M295">
        <v>93</v>
      </c>
      <c r="N295">
        <v>507</v>
      </c>
      <c r="O295">
        <v>1481</v>
      </c>
      <c r="P295" s="3" cm="1">
        <f t="array" ref="P295">_xlfn.XLOOKUP(A295&amp;B295,'[1]Daily Sleep'!$A$2:$A$468&amp;'[1]Daily Sleep'!$B$2:$B$468,'[1]Daily Sleep'!$D$2:$D$468,"")</f>
        <v>12.366666666666667</v>
      </c>
      <c r="Q295" t="str">
        <f t="shared" si="8"/>
        <v>Sunday</v>
      </c>
      <c r="R295" t="str">
        <f t="shared" si="9"/>
        <v>Weekday</v>
      </c>
    </row>
    <row r="296" spans="1:18" x14ac:dyDescent="0.35">
      <c r="A296">
        <v>5553957443</v>
      </c>
      <c r="B296" s="1">
        <v>42464</v>
      </c>
      <c r="C296">
        <v>8921</v>
      </c>
      <c r="D296">
        <v>5.8800001144409197</v>
      </c>
      <c r="E296">
        <v>5.8800001144409197</v>
      </c>
      <c r="F296">
        <v>0</v>
      </c>
      <c r="G296">
        <v>2.0699999332428001</v>
      </c>
      <c r="H296">
        <v>0.43999999761581399</v>
      </c>
      <c r="I296">
        <v>3.3599998950958301</v>
      </c>
      <c r="J296">
        <v>0</v>
      </c>
      <c r="K296">
        <v>27</v>
      </c>
      <c r="L296">
        <v>8</v>
      </c>
      <c r="M296">
        <v>198</v>
      </c>
      <c r="N296">
        <v>754</v>
      </c>
      <c r="O296">
        <v>1892</v>
      </c>
      <c r="P296" s="3" cm="1">
        <f t="array" ref="P296">_xlfn.XLOOKUP(A296&amp;B296,'[1]Daily Sleep'!$A$2:$A$468&amp;'[1]Daily Sleep'!$B$2:$B$468,'[1]Daily Sleep'!$D$2:$D$468,"")</f>
        <v>6.8833333333333337</v>
      </c>
      <c r="Q296" t="str">
        <f t="shared" si="8"/>
        <v>Monday</v>
      </c>
      <c r="R296" t="str">
        <f t="shared" si="9"/>
        <v>Weekday</v>
      </c>
    </row>
    <row r="297" spans="1:18" x14ac:dyDescent="0.35">
      <c r="A297">
        <v>5553957443</v>
      </c>
      <c r="B297" s="1">
        <v>42465</v>
      </c>
      <c r="C297">
        <v>11306</v>
      </c>
      <c r="D297">
        <v>7.3800001144409197</v>
      </c>
      <c r="E297">
        <v>7.3800001144409197</v>
      </c>
      <c r="F297">
        <v>0</v>
      </c>
      <c r="G297">
        <v>2.3099999427795401</v>
      </c>
      <c r="H297">
        <v>0.980000019073486</v>
      </c>
      <c r="I297">
        <v>4.0900001525878897</v>
      </c>
      <c r="J297">
        <v>0</v>
      </c>
      <c r="K297">
        <v>40</v>
      </c>
      <c r="L297">
        <v>26</v>
      </c>
      <c r="M297">
        <v>218</v>
      </c>
      <c r="N297">
        <v>772</v>
      </c>
      <c r="O297">
        <v>2086</v>
      </c>
      <c r="P297" s="3" cm="1">
        <f t="array" ref="P297">_xlfn.XLOOKUP(A297&amp;B297,'[1]Daily Sleep'!$A$2:$A$468&amp;'[1]Daily Sleep'!$B$2:$B$468,'[1]Daily Sleep'!$D$2:$D$468,"")</f>
        <v>5.666666666666667</v>
      </c>
      <c r="Q297" t="str">
        <f t="shared" si="8"/>
        <v>Tuesday</v>
      </c>
      <c r="R297" t="str">
        <f t="shared" si="9"/>
        <v>Weekday</v>
      </c>
    </row>
    <row r="298" spans="1:18" x14ac:dyDescent="0.35">
      <c r="A298">
        <v>5553957443</v>
      </c>
      <c r="B298" s="1">
        <v>42466</v>
      </c>
      <c r="C298">
        <v>12252</v>
      </c>
      <c r="D298">
        <v>8</v>
      </c>
      <c r="E298">
        <v>8</v>
      </c>
      <c r="F298">
        <v>0</v>
      </c>
      <c r="G298">
        <v>2.4100000858306898</v>
      </c>
      <c r="H298">
        <v>1.70000004768372</v>
      </c>
      <c r="I298">
        <v>3.8900001049041699</v>
      </c>
      <c r="J298">
        <v>0</v>
      </c>
      <c r="K298">
        <v>33</v>
      </c>
      <c r="L298">
        <v>28</v>
      </c>
      <c r="M298">
        <v>229</v>
      </c>
      <c r="N298">
        <v>745</v>
      </c>
      <c r="O298">
        <v>2044</v>
      </c>
      <c r="P298" s="3" cm="1">
        <f t="array" ref="P298">_xlfn.XLOOKUP(A298&amp;B298,'[1]Daily Sleep'!$A$2:$A$468&amp;'[1]Daily Sleep'!$B$2:$B$468,'[1]Daily Sleep'!$D$2:$D$468,"")</f>
        <v>6.416666666666667</v>
      </c>
      <c r="Q298" t="str">
        <f t="shared" si="8"/>
        <v>Wednesday</v>
      </c>
      <c r="R298" t="str">
        <f t="shared" si="9"/>
        <v>Weekday</v>
      </c>
    </row>
    <row r="299" spans="1:18" x14ac:dyDescent="0.35">
      <c r="A299">
        <v>5553957443</v>
      </c>
      <c r="B299" s="1">
        <v>42467</v>
      </c>
      <c r="C299">
        <v>15444</v>
      </c>
      <c r="D299">
        <v>10.079999923706101</v>
      </c>
      <c r="E299">
        <v>10.079999923706101</v>
      </c>
      <c r="F299">
        <v>0</v>
      </c>
      <c r="G299">
        <v>3.2699999809265101</v>
      </c>
      <c r="H299">
        <v>1.7300000190734901</v>
      </c>
      <c r="I299">
        <v>5.0799999237060502</v>
      </c>
      <c r="J299">
        <v>0</v>
      </c>
      <c r="K299">
        <v>51</v>
      </c>
      <c r="L299">
        <v>39</v>
      </c>
      <c r="M299">
        <v>243</v>
      </c>
      <c r="N299">
        <v>731</v>
      </c>
      <c r="O299">
        <v>2249</v>
      </c>
      <c r="P299" s="3" cm="1">
        <f t="array" ref="P299">_xlfn.XLOOKUP(A299&amp;B299,'[1]Daily Sleep'!$A$2:$A$468&amp;'[1]Daily Sleep'!$B$2:$B$468,'[1]Daily Sleep'!$D$2:$D$468,"")</f>
        <v>5.6333333333333337</v>
      </c>
      <c r="Q299" t="str">
        <f t="shared" si="8"/>
        <v>Thursday</v>
      </c>
      <c r="R299" t="str">
        <f t="shared" si="9"/>
        <v>Weekend</v>
      </c>
    </row>
    <row r="300" spans="1:18" x14ac:dyDescent="0.35">
      <c r="A300">
        <v>5553957443</v>
      </c>
      <c r="B300" s="1">
        <v>42468</v>
      </c>
      <c r="C300">
        <v>9938</v>
      </c>
      <c r="D300">
        <v>6.4899997711181596</v>
      </c>
      <c r="E300">
        <v>6.4899997711181596</v>
      </c>
      <c r="F300">
        <v>0</v>
      </c>
      <c r="G300">
        <v>2.1400001049041699</v>
      </c>
      <c r="H300">
        <v>1.2799999713897701</v>
      </c>
      <c r="I300">
        <v>3.0799999237060498</v>
      </c>
      <c r="J300">
        <v>0</v>
      </c>
      <c r="K300">
        <v>38</v>
      </c>
      <c r="L300">
        <v>24</v>
      </c>
      <c r="M300">
        <v>193</v>
      </c>
      <c r="N300">
        <v>767</v>
      </c>
      <c r="O300">
        <v>2019</v>
      </c>
      <c r="P300" s="3" cm="1">
        <f t="array" ref="P300">_xlfn.XLOOKUP(A300&amp;B300,'[1]Daily Sleep'!$A$2:$A$468&amp;'[1]Daily Sleep'!$B$2:$B$468,'[1]Daily Sleep'!$D$2:$D$468,"")</f>
        <v>6.3166666666666664</v>
      </c>
      <c r="Q300" t="str">
        <f t="shared" si="8"/>
        <v>Friday</v>
      </c>
      <c r="R300" t="str">
        <f t="shared" si="9"/>
        <v>Weekend</v>
      </c>
    </row>
    <row r="301" spans="1:18" x14ac:dyDescent="0.35">
      <c r="A301">
        <v>5553957443</v>
      </c>
      <c r="B301" s="1">
        <v>42469</v>
      </c>
      <c r="C301">
        <v>4599</v>
      </c>
      <c r="D301">
        <v>3</v>
      </c>
      <c r="E301">
        <v>3</v>
      </c>
      <c r="F301">
        <v>0</v>
      </c>
      <c r="G301">
        <v>0</v>
      </c>
      <c r="H301">
        <v>0</v>
      </c>
      <c r="I301">
        <v>3</v>
      </c>
      <c r="J301">
        <v>0</v>
      </c>
      <c r="K301">
        <v>0</v>
      </c>
      <c r="L301">
        <v>0</v>
      </c>
      <c r="M301">
        <v>176</v>
      </c>
      <c r="N301">
        <v>578</v>
      </c>
      <c r="O301">
        <v>1692</v>
      </c>
      <c r="P301" s="3" cm="1">
        <f t="array" ref="P301">_xlfn.XLOOKUP(A301&amp;B301,'[1]Daily Sleep'!$A$2:$A$468&amp;'[1]Daily Sleep'!$B$2:$B$468,'[1]Daily Sleep'!$D$2:$D$468,"")</f>
        <v>10.316666666666666</v>
      </c>
      <c r="Q301" t="str">
        <f t="shared" si="8"/>
        <v>Saturday</v>
      </c>
      <c r="R301" t="str">
        <f t="shared" si="9"/>
        <v>Weekday</v>
      </c>
    </row>
    <row r="302" spans="1:18" x14ac:dyDescent="0.35">
      <c r="A302">
        <v>5553957443</v>
      </c>
      <c r="B302" s="1">
        <v>42470</v>
      </c>
      <c r="C302">
        <v>5594</v>
      </c>
      <c r="D302">
        <v>3.6500000953674299</v>
      </c>
      <c r="E302">
        <v>3.6500000953674299</v>
      </c>
      <c r="F302">
        <v>0</v>
      </c>
      <c r="G302">
        <v>0.28000000119209301</v>
      </c>
      <c r="H302">
        <v>1.4800000190734901</v>
      </c>
      <c r="I302">
        <v>1.8899999856948899</v>
      </c>
      <c r="J302">
        <v>0</v>
      </c>
      <c r="K302">
        <v>4</v>
      </c>
      <c r="L302">
        <v>25</v>
      </c>
      <c r="M302">
        <v>150</v>
      </c>
      <c r="N302">
        <v>552</v>
      </c>
      <c r="O302">
        <v>1712</v>
      </c>
      <c r="P302" s="3" cm="1">
        <f t="array" ref="P302">_xlfn.XLOOKUP(A302&amp;B302,'[1]Daily Sleep'!$A$2:$A$468&amp;'[1]Daily Sleep'!$B$2:$B$468,'[1]Daily Sleep'!$D$2:$D$468,"")</f>
        <v>10.483333333333333</v>
      </c>
      <c r="Q302" t="str">
        <f t="shared" si="8"/>
        <v>Sunday</v>
      </c>
      <c r="R302" t="str">
        <f t="shared" si="9"/>
        <v>Weekday</v>
      </c>
    </row>
    <row r="303" spans="1:18" x14ac:dyDescent="0.35">
      <c r="A303">
        <v>5553957443</v>
      </c>
      <c r="B303" s="1">
        <v>42471</v>
      </c>
      <c r="C303">
        <v>11906</v>
      </c>
      <c r="D303">
        <v>7.7699999809265101</v>
      </c>
      <c r="E303">
        <v>7.7699999809265101</v>
      </c>
      <c r="F303">
        <v>0</v>
      </c>
      <c r="G303">
        <v>2.2599999904632599</v>
      </c>
      <c r="H303">
        <v>1.5199999809265099</v>
      </c>
      <c r="I303">
        <v>3.9900000095367401</v>
      </c>
      <c r="J303">
        <v>0</v>
      </c>
      <c r="K303">
        <v>32</v>
      </c>
      <c r="L303">
        <v>27</v>
      </c>
      <c r="M303">
        <v>234</v>
      </c>
      <c r="N303">
        <v>688</v>
      </c>
      <c r="O303">
        <v>2065</v>
      </c>
      <c r="P303" s="3" cm="1">
        <f t="array" ref="P303">_xlfn.XLOOKUP(A303&amp;B303,'[1]Daily Sleep'!$A$2:$A$468&amp;'[1]Daily Sleep'!$B$2:$B$468,'[1]Daily Sleep'!$D$2:$D$468,"")</f>
        <v>7.1333333333333337</v>
      </c>
      <c r="Q303" t="str">
        <f t="shared" si="8"/>
        <v>Monday</v>
      </c>
      <c r="R303" t="str">
        <f t="shared" si="9"/>
        <v>Weekday</v>
      </c>
    </row>
    <row r="304" spans="1:18" x14ac:dyDescent="0.35">
      <c r="A304">
        <v>5553957443</v>
      </c>
      <c r="B304" s="1">
        <v>42472</v>
      </c>
      <c r="C304">
        <v>3436</v>
      </c>
      <c r="D304">
        <v>2.2400000095367401</v>
      </c>
      <c r="E304">
        <v>2.2400000095367401</v>
      </c>
      <c r="F304">
        <v>0</v>
      </c>
      <c r="G304">
        <v>0.5</v>
      </c>
      <c r="H304">
        <v>0.67000001668930098</v>
      </c>
      <c r="I304">
        <v>1.04999995231628</v>
      </c>
      <c r="J304">
        <v>0</v>
      </c>
      <c r="K304">
        <v>7</v>
      </c>
      <c r="L304">
        <v>11</v>
      </c>
      <c r="M304">
        <v>50</v>
      </c>
      <c r="N304">
        <v>61</v>
      </c>
      <c r="O304">
        <v>633</v>
      </c>
      <c r="P304" s="3" cm="1">
        <f t="array" ref="P304">_xlfn.XLOOKUP(A304&amp;B304,'[1]Daily Sleep'!$A$2:$A$468&amp;'[1]Daily Sleep'!$B$2:$B$468,'[1]Daily Sleep'!$D$2:$D$468,"")</f>
        <v>5.7666666666666666</v>
      </c>
      <c r="Q304" t="str">
        <f t="shared" si="8"/>
        <v>Tuesday</v>
      </c>
      <c r="R304" t="str">
        <f t="shared" si="9"/>
        <v>Weekend</v>
      </c>
    </row>
    <row r="305" spans="1:18" x14ac:dyDescent="0.35">
      <c r="A305">
        <v>5577150313</v>
      </c>
      <c r="B305" s="1">
        <v>42461</v>
      </c>
      <c r="C305">
        <v>10461</v>
      </c>
      <c r="D305">
        <v>7.8699998855590803</v>
      </c>
      <c r="E305">
        <v>7.8699998855590803</v>
      </c>
      <c r="F305">
        <v>0</v>
      </c>
      <c r="G305">
        <v>4.7600002288818404</v>
      </c>
      <c r="H305">
        <v>0.85000002384185802</v>
      </c>
      <c r="I305">
        <v>2.25</v>
      </c>
      <c r="J305">
        <v>0</v>
      </c>
      <c r="K305">
        <v>99</v>
      </c>
      <c r="L305">
        <v>31</v>
      </c>
      <c r="M305">
        <v>142</v>
      </c>
      <c r="N305">
        <v>721</v>
      </c>
      <c r="O305">
        <v>3625</v>
      </c>
      <c r="P305" s="3" cm="1">
        <f t="array" ref="P305">_xlfn.XLOOKUP(A305&amp;B305,'[1]Daily Sleep'!$A$2:$A$468&amp;'[1]Daily Sleep'!$B$2:$B$468,'[1]Daily Sleep'!$D$2:$D$468,"")</f>
        <v>7.25</v>
      </c>
      <c r="Q305" t="str">
        <f t="shared" si="8"/>
        <v>Friday</v>
      </c>
      <c r="R305" t="str">
        <f t="shared" si="9"/>
        <v>Weekend</v>
      </c>
    </row>
    <row r="306" spans="1:18" x14ac:dyDescent="0.35">
      <c r="A306">
        <v>5577150313</v>
      </c>
      <c r="B306" s="1">
        <v>42462</v>
      </c>
      <c r="C306">
        <v>14873</v>
      </c>
      <c r="D306">
        <v>11.1099996566772</v>
      </c>
      <c r="E306">
        <v>11.1099996566772</v>
      </c>
      <c r="F306">
        <v>0</v>
      </c>
      <c r="G306">
        <v>8.1899995803833008</v>
      </c>
      <c r="H306">
        <v>0.60000002384185802</v>
      </c>
      <c r="I306">
        <v>2.3099999427795401</v>
      </c>
      <c r="J306">
        <v>0</v>
      </c>
      <c r="K306">
        <v>202</v>
      </c>
      <c r="L306">
        <v>36</v>
      </c>
      <c r="M306">
        <v>153</v>
      </c>
      <c r="N306">
        <v>663</v>
      </c>
      <c r="O306">
        <v>4430</v>
      </c>
      <c r="P306" s="3" cm="1">
        <f t="array" ref="P306">_xlfn.XLOOKUP(A306&amp;B306,'[1]Daily Sleep'!$A$2:$A$468&amp;'[1]Daily Sleep'!$B$2:$B$468,'[1]Daily Sleep'!$D$2:$D$468,"")</f>
        <v>5.916666666666667</v>
      </c>
      <c r="Q306" t="str">
        <f t="shared" si="8"/>
        <v>Saturday</v>
      </c>
      <c r="R306" t="str">
        <f t="shared" si="9"/>
        <v>Weekday</v>
      </c>
    </row>
    <row r="307" spans="1:18" x14ac:dyDescent="0.35">
      <c r="A307">
        <v>5577150313</v>
      </c>
      <c r="B307" s="1">
        <v>42463</v>
      </c>
      <c r="C307">
        <v>9917</v>
      </c>
      <c r="D307">
        <v>7.4099998474121103</v>
      </c>
      <c r="E307">
        <v>7.4099998474121103</v>
      </c>
      <c r="F307">
        <v>0</v>
      </c>
      <c r="G307">
        <v>1.9900000095367401</v>
      </c>
      <c r="H307">
        <v>0.97000002861022905</v>
      </c>
      <c r="I307">
        <v>4.4400000572204599</v>
      </c>
      <c r="J307">
        <v>0</v>
      </c>
      <c r="K307">
        <v>58</v>
      </c>
      <c r="L307">
        <v>27</v>
      </c>
      <c r="M307">
        <v>240</v>
      </c>
      <c r="N307">
        <v>700</v>
      </c>
      <c r="O307">
        <v>3427</v>
      </c>
      <c r="P307" s="3" cm="1">
        <f t="array" ref="P307">_xlfn.XLOOKUP(A307&amp;B307,'[1]Daily Sleep'!$A$2:$A$468&amp;'[1]Daily Sleep'!$B$2:$B$468,'[1]Daily Sleep'!$D$2:$D$468,"")</f>
        <v>6.4833333333333334</v>
      </c>
      <c r="Q307" t="str">
        <f t="shared" si="8"/>
        <v>Sunday</v>
      </c>
      <c r="R307" t="str">
        <f t="shared" si="9"/>
        <v>Weekday</v>
      </c>
    </row>
    <row r="308" spans="1:18" x14ac:dyDescent="0.35">
      <c r="A308">
        <v>5577150313</v>
      </c>
      <c r="B308" s="1">
        <v>42464</v>
      </c>
      <c r="C308">
        <v>7401</v>
      </c>
      <c r="D308">
        <v>5.5599999427795401</v>
      </c>
      <c r="E308">
        <v>5.5599999427795401</v>
      </c>
      <c r="F308">
        <v>0</v>
      </c>
      <c r="G308">
        <v>2.3199999332428001</v>
      </c>
      <c r="H308">
        <v>0.36000001430511502</v>
      </c>
      <c r="I308">
        <v>2.8800001144409202</v>
      </c>
      <c r="J308">
        <v>0</v>
      </c>
      <c r="K308">
        <v>70</v>
      </c>
      <c r="L308">
        <v>19</v>
      </c>
      <c r="M308">
        <v>204</v>
      </c>
      <c r="N308">
        <v>689</v>
      </c>
      <c r="O308">
        <v>3492</v>
      </c>
      <c r="P308" s="3" cm="1">
        <f t="array" ref="P308">_xlfn.XLOOKUP(A308&amp;B308,'[1]Daily Sleep'!$A$2:$A$468&amp;'[1]Daily Sleep'!$B$2:$B$468,'[1]Daily Sleep'!$D$2:$D$468,"")</f>
        <v>7.25</v>
      </c>
      <c r="Q308" t="str">
        <f t="shared" si="8"/>
        <v>Monday</v>
      </c>
      <c r="R308" t="str">
        <f t="shared" si="9"/>
        <v>Weekday</v>
      </c>
    </row>
    <row r="309" spans="1:18" x14ac:dyDescent="0.35">
      <c r="A309">
        <v>5577150313</v>
      </c>
      <c r="B309" s="1">
        <v>42465</v>
      </c>
      <c r="C309">
        <v>8964</v>
      </c>
      <c r="D309">
        <v>6.6999998092651403</v>
      </c>
      <c r="E309">
        <v>6.6999998092651403</v>
      </c>
      <c r="F309">
        <v>0</v>
      </c>
      <c r="G309">
        <v>3.9700000286102299</v>
      </c>
      <c r="H309">
        <v>0.18999999761581399</v>
      </c>
      <c r="I309">
        <v>2.5299999713897701</v>
      </c>
      <c r="J309">
        <v>0</v>
      </c>
      <c r="K309">
        <v>107</v>
      </c>
      <c r="L309">
        <v>18</v>
      </c>
      <c r="M309">
        <v>145</v>
      </c>
      <c r="N309">
        <v>756</v>
      </c>
      <c r="O309">
        <v>3597</v>
      </c>
      <c r="P309" s="3" cm="1">
        <f t="array" ref="P309">_xlfn.XLOOKUP(A309&amp;B309,'[1]Daily Sleep'!$A$2:$A$468&amp;'[1]Daily Sleep'!$B$2:$B$468,'[1]Daily Sleep'!$D$2:$D$468,"")</f>
        <v>6.5</v>
      </c>
      <c r="Q309" t="str">
        <f t="shared" si="8"/>
        <v>Tuesday</v>
      </c>
      <c r="R309" t="str">
        <f t="shared" si="9"/>
        <v>Weekday</v>
      </c>
    </row>
    <row r="310" spans="1:18" x14ac:dyDescent="0.35">
      <c r="A310">
        <v>5577150313</v>
      </c>
      <c r="B310" s="1">
        <v>42466</v>
      </c>
      <c r="C310">
        <v>11080</v>
      </c>
      <c r="D310">
        <v>8.3000001907348597</v>
      </c>
      <c r="E310">
        <v>8.3000001907348597</v>
      </c>
      <c r="F310">
        <v>0</v>
      </c>
      <c r="G310">
        <v>3.1300001144409202</v>
      </c>
      <c r="H310">
        <v>1.37000000476837</v>
      </c>
      <c r="I310">
        <v>3.8099999427795401</v>
      </c>
      <c r="J310">
        <v>0</v>
      </c>
      <c r="K310">
        <v>83</v>
      </c>
      <c r="L310">
        <v>52</v>
      </c>
      <c r="M310">
        <v>190</v>
      </c>
      <c r="N310">
        <v>695</v>
      </c>
      <c r="O310">
        <v>3765</v>
      </c>
      <c r="P310" s="3" cm="1">
        <f t="array" ref="P310">_xlfn.XLOOKUP(A310&amp;B310,'[1]Daily Sleep'!$A$2:$A$468&amp;'[1]Daily Sleep'!$B$2:$B$468,'[1]Daily Sleep'!$D$2:$D$468,"")</f>
        <v>6.55</v>
      </c>
      <c r="Q310" t="str">
        <f t="shared" si="8"/>
        <v>Wednesday</v>
      </c>
      <c r="R310" t="str">
        <f t="shared" si="9"/>
        <v>Weekday</v>
      </c>
    </row>
    <row r="311" spans="1:18" x14ac:dyDescent="0.35">
      <c r="A311">
        <v>5577150313</v>
      </c>
      <c r="B311" s="1">
        <v>42467</v>
      </c>
      <c r="C311">
        <v>4499</v>
      </c>
      <c r="D311">
        <v>3.3599998950958301</v>
      </c>
      <c r="E311">
        <v>3.3599998950958301</v>
      </c>
      <c r="F311">
        <v>0</v>
      </c>
      <c r="G311">
        <v>0.88999998569488503</v>
      </c>
      <c r="H311">
        <v>0.259999990463257</v>
      </c>
      <c r="I311">
        <v>2.21000003814697</v>
      </c>
      <c r="J311">
        <v>0</v>
      </c>
      <c r="K311">
        <v>31</v>
      </c>
      <c r="L311">
        <v>11</v>
      </c>
      <c r="M311">
        <v>146</v>
      </c>
      <c r="N311">
        <v>756</v>
      </c>
      <c r="O311">
        <v>2775</v>
      </c>
      <c r="P311" s="3" cm="1">
        <f t="array" ref="P311">_xlfn.XLOOKUP(A311&amp;B311,'[1]Daily Sleep'!$A$2:$A$468&amp;'[1]Daily Sleep'!$B$2:$B$468,'[1]Daily Sleep'!$D$2:$D$468,"")</f>
        <v>7.5666666666666664</v>
      </c>
      <c r="Q311" t="str">
        <f t="shared" si="8"/>
        <v>Thursday</v>
      </c>
      <c r="R311" t="str">
        <f t="shared" si="9"/>
        <v>Weekend</v>
      </c>
    </row>
    <row r="312" spans="1:18" x14ac:dyDescent="0.35">
      <c r="A312">
        <v>5577150313</v>
      </c>
      <c r="B312" s="1">
        <v>42468</v>
      </c>
      <c r="C312">
        <v>4363</v>
      </c>
      <c r="D312">
        <v>3.2599999904632599</v>
      </c>
      <c r="E312">
        <v>3.2599999904632599</v>
      </c>
      <c r="F312">
        <v>0</v>
      </c>
      <c r="G312">
        <v>0.129999995231628</v>
      </c>
      <c r="H312">
        <v>5.9999998658895499E-2</v>
      </c>
      <c r="I312">
        <v>3.0799999237060498</v>
      </c>
      <c r="J312">
        <v>0</v>
      </c>
      <c r="K312">
        <v>8</v>
      </c>
      <c r="L312">
        <v>2</v>
      </c>
      <c r="M312">
        <v>156</v>
      </c>
      <c r="N312">
        <v>813</v>
      </c>
      <c r="O312">
        <v>2486</v>
      </c>
      <c r="P312" s="3" cm="1">
        <f t="array" ref="P312">_xlfn.XLOOKUP(A312&amp;B312,'[1]Daily Sleep'!$A$2:$A$468&amp;'[1]Daily Sleep'!$B$2:$B$468,'[1]Daily Sleep'!$D$2:$D$468,"")</f>
        <v>7.5166666666666666</v>
      </c>
      <c r="Q312" t="str">
        <f t="shared" si="8"/>
        <v>Friday</v>
      </c>
      <c r="R312" t="str">
        <f t="shared" si="9"/>
        <v>Weekend</v>
      </c>
    </row>
    <row r="313" spans="1:18" x14ac:dyDescent="0.35">
      <c r="A313">
        <v>5577150313</v>
      </c>
      <c r="B313" s="1">
        <v>42469</v>
      </c>
      <c r="C313">
        <v>10494</v>
      </c>
      <c r="D313">
        <v>7.8400001525878897</v>
      </c>
      <c r="E313">
        <v>7.8400001525878897</v>
      </c>
      <c r="F313">
        <v>0</v>
      </c>
      <c r="G313">
        <v>4.9099998474121103</v>
      </c>
      <c r="H313">
        <v>0.77999997138977095</v>
      </c>
      <c r="I313">
        <v>2.1500000953674299</v>
      </c>
      <c r="J313">
        <v>0</v>
      </c>
      <c r="K313">
        <v>123</v>
      </c>
      <c r="L313">
        <v>62</v>
      </c>
      <c r="M313">
        <v>138</v>
      </c>
      <c r="N313">
        <v>601</v>
      </c>
      <c r="O313">
        <v>3817</v>
      </c>
      <c r="P313" s="3" cm="1">
        <f t="array" ref="P313">_xlfn.XLOOKUP(A313&amp;B313,'[1]Daily Sleep'!$A$2:$A$468&amp;'[1]Daily Sleep'!$B$2:$B$468,'[1]Daily Sleep'!$D$2:$D$468,"")</f>
        <v>8.3166666666666664</v>
      </c>
      <c r="Q313" t="str">
        <f t="shared" si="8"/>
        <v>Saturday</v>
      </c>
      <c r="R313" t="str">
        <f t="shared" si="9"/>
        <v>Weekday</v>
      </c>
    </row>
    <row r="314" spans="1:18" x14ac:dyDescent="0.35">
      <c r="A314">
        <v>5577150313</v>
      </c>
      <c r="B314" s="1">
        <v>42470</v>
      </c>
      <c r="C314">
        <v>9776</v>
      </c>
      <c r="D314">
        <v>7.3800001144409197</v>
      </c>
      <c r="E314">
        <v>7.3800001144409197</v>
      </c>
      <c r="F314">
        <v>0</v>
      </c>
      <c r="G314">
        <v>2.9300000667571999</v>
      </c>
      <c r="H314">
        <v>1.4299999475479099</v>
      </c>
      <c r="I314">
        <v>3.0199999809265101</v>
      </c>
      <c r="J314">
        <v>0</v>
      </c>
      <c r="K314">
        <v>80</v>
      </c>
      <c r="L314">
        <v>35</v>
      </c>
      <c r="M314">
        <v>162</v>
      </c>
      <c r="N314">
        <v>721</v>
      </c>
      <c r="O314">
        <v>3378</v>
      </c>
      <c r="P314" s="3" cm="1">
        <f t="array" ref="P314">_xlfn.XLOOKUP(A314&amp;B314,'[1]Daily Sleep'!$A$2:$A$468&amp;'[1]Daily Sleep'!$B$2:$B$468,'[1]Daily Sleep'!$D$2:$D$468,"")</f>
        <v>6.8666666666666663</v>
      </c>
      <c r="Q314" t="str">
        <f t="shared" si="8"/>
        <v>Sunday</v>
      </c>
      <c r="R314" t="str">
        <f t="shared" si="9"/>
        <v>Weekday</v>
      </c>
    </row>
    <row r="315" spans="1:18" x14ac:dyDescent="0.35">
      <c r="A315">
        <v>5577150313</v>
      </c>
      <c r="B315" s="1">
        <v>42471</v>
      </c>
      <c r="C315">
        <v>2862</v>
      </c>
      <c r="D315">
        <v>2.1400001049041699</v>
      </c>
      <c r="E315">
        <v>2.1400001049041699</v>
      </c>
      <c r="F315">
        <v>0</v>
      </c>
      <c r="G315">
        <v>1.03999996185303</v>
      </c>
      <c r="H315">
        <v>0.25</v>
      </c>
      <c r="I315">
        <v>0.83999997377395597</v>
      </c>
      <c r="J315">
        <v>0</v>
      </c>
      <c r="K315">
        <v>39</v>
      </c>
      <c r="L315">
        <v>17</v>
      </c>
      <c r="M315">
        <v>54</v>
      </c>
      <c r="N315">
        <v>209</v>
      </c>
      <c r="O315">
        <v>1511</v>
      </c>
      <c r="P315" s="3" cm="1">
        <f t="array" ref="P315">_xlfn.XLOOKUP(A315&amp;B315,'[1]Daily Sleep'!$A$2:$A$468&amp;'[1]Daily Sleep'!$B$2:$B$468,'[1]Daily Sleep'!$D$2:$D$468,"")</f>
        <v>5.2</v>
      </c>
      <c r="Q315" t="str">
        <f t="shared" si="8"/>
        <v>Monday</v>
      </c>
      <c r="R315" t="str">
        <f t="shared" si="9"/>
        <v>Weekend</v>
      </c>
    </row>
    <row r="316" spans="1:18" x14ac:dyDescent="0.35">
      <c r="A316">
        <v>6117666160</v>
      </c>
      <c r="B316" s="1">
        <v>42461</v>
      </c>
      <c r="C316">
        <v>7444</v>
      </c>
      <c r="D316">
        <v>5.6199998855590803</v>
      </c>
      <c r="E316">
        <v>5.6199998855590803</v>
      </c>
      <c r="F316">
        <v>0</v>
      </c>
      <c r="G316">
        <v>0</v>
      </c>
      <c r="H316">
        <v>0</v>
      </c>
      <c r="I316">
        <v>5.6199998855590803</v>
      </c>
      <c r="J316">
        <v>0</v>
      </c>
      <c r="K316">
        <v>0</v>
      </c>
      <c r="L316">
        <v>0</v>
      </c>
      <c r="M316">
        <v>286</v>
      </c>
      <c r="N316">
        <v>568</v>
      </c>
      <c r="O316">
        <v>2210</v>
      </c>
      <c r="P316" s="3" cm="1">
        <f t="array" ref="P316">_xlfn.XLOOKUP(A316&amp;B316,'[1]Daily Sleep'!$A$2:$A$468&amp;'[1]Daily Sleep'!$B$2:$B$468,'[1]Daily Sleep'!$D$2:$D$468,"")</f>
        <v>9.3000000000000007</v>
      </c>
      <c r="Q316" t="str">
        <f t="shared" si="8"/>
        <v>Friday</v>
      </c>
      <c r="R316" t="str">
        <f t="shared" si="9"/>
        <v>Weekend</v>
      </c>
    </row>
    <row r="317" spans="1:18" x14ac:dyDescent="0.35">
      <c r="A317">
        <v>6117666160</v>
      </c>
      <c r="B317" s="1">
        <v>42462</v>
      </c>
      <c r="C317">
        <v>19658</v>
      </c>
      <c r="D317">
        <v>14.8400001525879</v>
      </c>
      <c r="E317">
        <v>14.8400001525879</v>
      </c>
      <c r="F317">
        <v>0</v>
      </c>
      <c r="G317">
        <v>0.239999994635582</v>
      </c>
      <c r="H317">
        <v>2.0899999141693102</v>
      </c>
      <c r="I317">
        <v>12.5100002288818</v>
      </c>
      <c r="J317">
        <v>0</v>
      </c>
      <c r="K317">
        <v>3</v>
      </c>
      <c r="L317">
        <v>30</v>
      </c>
      <c r="M317">
        <v>475</v>
      </c>
      <c r="N317">
        <v>466</v>
      </c>
      <c r="O317">
        <v>2884</v>
      </c>
      <c r="P317" s="3" cm="1">
        <f t="array" ref="P317">_xlfn.XLOOKUP(A317&amp;B317,'[1]Daily Sleep'!$A$2:$A$468&amp;'[1]Daily Sleep'!$B$2:$B$468,'[1]Daily Sleep'!$D$2:$D$468,"")</f>
        <v>7.5666666666666664</v>
      </c>
      <c r="Q317" t="str">
        <f t="shared" si="8"/>
        <v>Saturday</v>
      </c>
      <c r="R317" t="str">
        <f t="shared" si="9"/>
        <v>Weekday</v>
      </c>
    </row>
    <row r="318" spans="1:18" x14ac:dyDescent="0.35">
      <c r="A318">
        <v>6117666160</v>
      </c>
      <c r="B318" s="1">
        <v>42463</v>
      </c>
      <c r="C318">
        <v>0</v>
      </c>
      <c r="D318">
        <v>0</v>
      </c>
      <c r="E318">
        <v>0</v>
      </c>
      <c r="F318">
        <v>0</v>
      </c>
      <c r="G318">
        <v>0</v>
      </c>
      <c r="H318">
        <v>0</v>
      </c>
      <c r="I318">
        <v>0</v>
      </c>
      <c r="J318">
        <v>0</v>
      </c>
      <c r="K318">
        <v>0</v>
      </c>
      <c r="L318">
        <v>0</v>
      </c>
      <c r="M318">
        <v>0</v>
      </c>
      <c r="N318">
        <v>1440</v>
      </c>
      <c r="O318">
        <v>1496</v>
      </c>
      <c r="P318" s="3" t="str" cm="1">
        <f t="array" ref="P318">_xlfn.XLOOKUP(A318&amp;B318,'[1]Daily Sleep'!$A$2:$A$468&amp;'[1]Daily Sleep'!$B$2:$B$468,'[1]Daily Sleep'!$D$2:$D$468,"")</f>
        <v/>
      </c>
      <c r="Q318" t="str">
        <f t="shared" si="8"/>
        <v>Sunday</v>
      </c>
      <c r="R318" t="str">
        <f t="shared" si="9"/>
        <v>Weekday</v>
      </c>
    </row>
    <row r="319" spans="1:18" x14ac:dyDescent="0.35">
      <c r="A319">
        <v>6117666160</v>
      </c>
      <c r="B319" s="1">
        <v>42464</v>
      </c>
      <c r="C319">
        <v>8468</v>
      </c>
      <c r="D319">
        <v>6.3899998664856001</v>
      </c>
      <c r="E319">
        <v>6.3899998664856001</v>
      </c>
      <c r="F319">
        <v>0</v>
      </c>
      <c r="G319">
        <v>0.18000000715255701</v>
      </c>
      <c r="H319">
        <v>0.63999998569488503</v>
      </c>
      <c r="I319">
        <v>5.5700001716613796</v>
      </c>
      <c r="J319">
        <v>0</v>
      </c>
      <c r="K319">
        <v>2</v>
      </c>
      <c r="L319">
        <v>11</v>
      </c>
      <c r="M319">
        <v>279</v>
      </c>
      <c r="N319">
        <v>1148</v>
      </c>
      <c r="O319">
        <v>2262</v>
      </c>
      <c r="P319" s="3" t="str" cm="1">
        <f t="array" ref="P319">_xlfn.XLOOKUP(A319&amp;B319,'[1]Daily Sleep'!$A$2:$A$468&amp;'[1]Daily Sleep'!$B$2:$B$468,'[1]Daily Sleep'!$D$2:$D$468,"")</f>
        <v/>
      </c>
      <c r="Q319" t="str">
        <f t="shared" si="8"/>
        <v>Monday</v>
      </c>
      <c r="R319" t="str">
        <f t="shared" si="9"/>
        <v>Weekday</v>
      </c>
    </row>
    <row r="320" spans="1:18" x14ac:dyDescent="0.35">
      <c r="A320">
        <v>6117666160</v>
      </c>
      <c r="B320" s="1">
        <v>42465</v>
      </c>
      <c r="C320">
        <v>9910</v>
      </c>
      <c r="D320">
        <v>7.4800000190734899</v>
      </c>
      <c r="E320">
        <v>7.4800000190734899</v>
      </c>
      <c r="F320">
        <v>0</v>
      </c>
      <c r="G320">
        <v>0</v>
      </c>
      <c r="H320">
        <v>0</v>
      </c>
      <c r="I320">
        <v>7.4800000190734899</v>
      </c>
      <c r="J320">
        <v>0</v>
      </c>
      <c r="K320">
        <v>0</v>
      </c>
      <c r="L320">
        <v>0</v>
      </c>
      <c r="M320">
        <v>384</v>
      </c>
      <c r="N320">
        <v>990</v>
      </c>
      <c r="O320">
        <v>2445</v>
      </c>
      <c r="P320" s="3" cm="1">
        <f t="array" ref="P320">_xlfn.XLOOKUP(A320&amp;B320,'[1]Daily Sleep'!$A$2:$A$468&amp;'[1]Daily Sleep'!$B$2:$B$468,'[1]Daily Sleep'!$D$2:$D$468,"")</f>
        <v>1.0166666666666666</v>
      </c>
      <c r="Q320" t="str">
        <f t="shared" si="8"/>
        <v>Tuesday</v>
      </c>
      <c r="R320" t="str">
        <f t="shared" si="9"/>
        <v>Weekday</v>
      </c>
    </row>
    <row r="321" spans="1:18" x14ac:dyDescent="0.35">
      <c r="A321">
        <v>6117666160</v>
      </c>
      <c r="B321" s="1">
        <v>42466</v>
      </c>
      <c r="C321">
        <v>12409</v>
      </c>
      <c r="D321">
        <v>9.3699998855590803</v>
      </c>
      <c r="E321">
        <v>9.3699998855590803</v>
      </c>
      <c r="F321">
        <v>0</v>
      </c>
      <c r="G321">
        <v>0</v>
      </c>
      <c r="H321">
        <v>0</v>
      </c>
      <c r="I321">
        <v>9.3699998855590803</v>
      </c>
      <c r="J321">
        <v>0</v>
      </c>
      <c r="K321">
        <v>0</v>
      </c>
      <c r="L321">
        <v>0</v>
      </c>
      <c r="M321">
        <v>491</v>
      </c>
      <c r="N321">
        <v>388</v>
      </c>
      <c r="O321">
        <v>2694</v>
      </c>
      <c r="P321" s="3" cm="1">
        <f t="array" ref="P321">_xlfn.XLOOKUP(A321&amp;B321,'[1]Daily Sleep'!$A$2:$A$468&amp;'[1]Daily Sleep'!$B$2:$B$468,'[1]Daily Sleep'!$D$2:$D$468,"")</f>
        <v>8.7166666666666668</v>
      </c>
      <c r="Q321" t="str">
        <f t="shared" si="8"/>
        <v>Wednesday</v>
      </c>
      <c r="R321" t="str">
        <f t="shared" si="9"/>
        <v>Weekday</v>
      </c>
    </row>
    <row r="322" spans="1:18" x14ac:dyDescent="0.35">
      <c r="A322">
        <v>6117666160</v>
      </c>
      <c r="B322" s="1">
        <v>42467</v>
      </c>
      <c r="C322">
        <v>4853</v>
      </c>
      <c r="D322">
        <v>3.6600000858306898</v>
      </c>
      <c r="E322">
        <v>3.6600000858306898</v>
      </c>
      <c r="F322">
        <v>0</v>
      </c>
      <c r="G322">
        <v>0</v>
      </c>
      <c r="H322">
        <v>0</v>
      </c>
      <c r="I322">
        <v>3.6600000858306898</v>
      </c>
      <c r="J322">
        <v>0</v>
      </c>
      <c r="K322">
        <v>0</v>
      </c>
      <c r="L322">
        <v>0</v>
      </c>
      <c r="M322">
        <v>156</v>
      </c>
      <c r="N322">
        <v>770</v>
      </c>
      <c r="O322">
        <v>1903</v>
      </c>
      <c r="P322" s="3" cm="1">
        <f t="array" ref="P322">_xlfn.XLOOKUP(A322&amp;B322,'[1]Daily Sleep'!$A$2:$A$468&amp;'[1]Daily Sleep'!$B$2:$B$468,'[1]Daily Sleep'!$D$2:$D$468,"")</f>
        <v>8.3166666666666664</v>
      </c>
      <c r="Q322" t="str">
        <f t="shared" si="8"/>
        <v>Thursday</v>
      </c>
      <c r="R322" t="str">
        <f t="shared" si="9"/>
        <v>Weekend</v>
      </c>
    </row>
    <row r="323" spans="1:18" x14ac:dyDescent="0.35">
      <c r="A323">
        <v>6117666160</v>
      </c>
      <c r="B323" s="1">
        <v>42468</v>
      </c>
      <c r="C323">
        <v>8955</v>
      </c>
      <c r="D323">
        <v>6.7600002288818404</v>
      </c>
      <c r="E323">
        <v>6.7600002288818404</v>
      </c>
      <c r="F323">
        <v>0</v>
      </c>
      <c r="G323">
        <v>0</v>
      </c>
      <c r="H323">
        <v>0</v>
      </c>
      <c r="I323">
        <v>6.7300000190734899</v>
      </c>
      <c r="J323">
        <v>0</v>
      </c>
      <c r="K323">
        <v>0</v>
      </c>
      <c r="L323">
        <v>0</v>
      </c>
      <c r="M323">
        <v>422</v>
      </c>
      <c r="N323">
        <v>1018</v>
      </c>
      <c r="O323">
        <v>2482</v>
      </c>
      <c r="P323" s="3" t="str" cm="1">
        <f t="array" ref="P323">_xlfn.XLOOKUP(A323&amp;B323,'[1]Daily Sleep'!$A$2:$A$468&amp;'[1]Daily Sleep'!$B$2:$B$468,'[1]Daily Sleep'!$D$2:$D$468,"")</f>
        <v/>
      </c>
      <c r="Q323" t="str">
        <f t="shared" ref="Q323:Q386" si="10">TEXT(B323,"dddd")</f>
        <v>Friday</v>
      </c>
      <c r="R323" t="str">
        <f t="shared" ref="R323:R386" si="11">IF(OR(WEEKDAY(B324,2)=5,WEEKDAY(B324,2)=6),"Weekend","Weekday")</f>
        <v>Weekend</v>
      </c>
    </row>
    <row r="324" spans="1:18" x14ac:dyDescent="0.35">
      <c r="A324">
        <v>6117666160</v>
      </c>
      <c r="B324" s="1">
        <v>42469</v>
      </c>
      <c r="C324">
        <v>10789</v>
      </c>
      <c r="D324">
        <v>8.1499996185302699</v>
      </c>
      <c r="E324">
        <v>8.1499996185302699</v>
      </c>
      <c r="F324">
        <v>0</v>
      </c>
      <c r="G324">
        <v>0</v>
      </c>
      <c r="H324">
        <v>0</v>
      </c>
      <c r="I324">
        <v>8.1499996185302699</v>
      </c>
      <c r="J324">
        <v>0</v>
      </c>
      <c r="K324">
        <v>0</v>
      </c>
      <c r="L324">
        <v>0</v>
      </c>
      <c r="M324">
        <v>506</v>
      </c>
      <c r="N324">
        <v>413</v>
      </c>
      <c r="O324">
        <v>2617</v>
      </c>
      <c r="P324" s="3" cm="1">
        <f t="array" ref="P324">_xlfn.XLOOKUP(A324&amp;B324,'[1]Daily Sleep'!$A$2:$A$468&amp;'[1]Daily Sleep'!$B$2:$B$468,'[1]Daily Sleep'!$D$2:$D$468,"")</f>
        <v>7.25</v>
      </c>
      <c r="Q324" t="str">
        <f t="shared" si="10"/>
        <v>Saturday</v>
      </c>
      <c r="R324" t="str">
        <f t="shared" si="11"/>
        <v>Weekday</v>
      </c>
    </row>
    <row r="325" spans="1:18" x14ac:dyDescent="0.35">
      <c r="A325">
        <v>6117666160</v>
      </c>
      <c r="B325" s="1">
        <v>42470</v>
      </c>
      <c r="C325">
        <v>0</v>
      </c>
      <c r="D325">
        <v>0</v>
      </c>
      <c r="E325">
        <v>0</v>
      </c>
      <c r="F325">
        <v>0</v>
      </c>
      <c r="G325">
        <v>0</v>
      </c>
      <c r="H325">
        <v>0</v>
      </c>
      <c r="I325">
        <v>0</v>
      </c>
      <c r="J325">
        <v>0</v>
      </c>
      <c r="K325">
        <v>0</v>
      </c>
      <c r="L325">
        <v>0</v>
      </c>
      <c r="M325">
        <v>0</v>
      </c>
      <c r="N325">
        <v>1440</v>
      </c>
      <c r="O325">
        <v>0</v>
      </c>
      <c r="P325" s="3" t="str" cm="1">
        <f t="array" ref="P325">_xlfn.XLOOKUP(A325&amp;B325,'[1]Daily Sleep'!$A$2:$A$468&amp;'[1]Daily Sleep'!$B$2:$B$468,'[1]Daily Sleep'!$D$2:$D$468,"")</f>
        <v/>
      </c>
      <c r="Q325" t="str">
        <f t="shared" si="10"/>
        <v>Sunday</v>
      </c>
      <c r="R325" t="str">
        <f t="shared" si="11"/>
        <v>Weekend</v>
      </c>
    </row>
    <row r="326" spans="1:18" x14ac:dyDescent="0.35">
      <c r="A326">
        <v>6290855005</v>
      </c>
      <c r="B326" s="1">
        <v>42461</v>
      </c>
      <c r="C326">
        <v>6633</v>
      </c>
      <c r="D326">
        <v>5.0100002288818404</v>
      </c>
      <c r="E326">
        <v>5.0100002288818404</v>
      </c>
      <c r="F326">
        <v>0</v>
      </c>
      <c r="G326">
        <v>0</v>
      </c>
      <c r="H326">
        <v>0</v>
      </c>
      <c r="I326">
        <v>5.0100002288818404</v>
      </c>
      <c r="J326">
        <v>0</v>
      </c>
      <c r="K326">
        <v>0</v>
      </c>
      <c r="L326">
        <v>0</v>
      </c>
      <c r="M326">
        <v>280</v>
      </c>
      <c r="N326">
        <v>1160</v>
      </c>
      <c r="O326">
        <v>2778</v>
      </c>
      <c r="P326" s="3" t="str" cm="1">
        <f t="array" ref="P326">_xlfn.XLOOKUP(A326&amp;B326,'[1]Daily Sleep'!$A$2:$A$468&amp;'[1]Daily Sleep'!$B$2:$B$468,'[1]Daily Sleep'!$D$2:$D$468,"")</f>
        <v/>
      </c>
      <c r="Q326" t="str">
        <f t="shared" si="10"/>
        <v>Friday</v>
      </c>
      <c r="R326" t="str">
        <f t="shared" si="11"/>
        <v>Weekend</v>
      </c>
    </row>
    <row r="327" spans="1:18" x14ac:dyDescent="0.35">
      <c r="A327">
        <v>6290855005</v>
      </c>
      <c r="B327" s="1">
        <v>42462</v>
      </c>
      <c r="C327">
        <v>9548</v>
      </c>
      <c r="D327">
        <v>7.2199997901916504</v>
      </c>
      <c r="E327">
        <v>7.2199997901916504</v>
      </c>
      <c r="F327">
        <v>0</v>
      </c>
      <c r="G327">
        <v>2.0199999809265101</v>
      </c>
      <c r="H327">
        <v>3.6800000667571999</v>
      </c>
      <c r="I327">
        <v>1.5199999809265099</v>
      </c>
      <c r="J327">
        <v>0</v>
      </c>
      <c r="K327">
        <v>25</v>
      </c>
      <c r="L327">
        <v>107</v>
      </c>
      <c r="M327">
        <v>113</v>
      </c>
      <c r="N327">
        <v>1195</v>
      </c>
      <c r="O327">
        <v>3119</v>
      </c>
      <c r="P327" s="3" t="str" cm="1">
        <f t="array" ref="P327">_xlfn.XLOOKUP(A327&amp;B327,'[1]Daily Sleep'!$A$2:$A$468&amp;'[1]Daily Sleep'!$B$2:$B$468,'[1]Daily Sleep'!$D$2:$D$468,"")</f>
        <v/>
      </c>
      <c r="Q327" t="str">
        <f t="shared" si="10"/>
        <v>Saturday</v>
      </c>
      <c r="R327" t="str">
        <f t="shared" si="11"/>
        <v>Weekday</v>
      </c>
    </row>
    <row r="328" spans="1:18" x14ac:dyDescent="0.35">
      <c r="A328">
        <v>6290855005</v>
      </c>
      <c r="B328" s="1">
        <v>42463</v>
      </c>
      <c r="C328">
        <v>0</v>
      </c>
      <c r="D328">
        <v>0</v>
      </c>
      <c r="E328">
        <v>0</v>
      </c>
      <c r="F328">
        <v>0</v>
      </c>
      <c r="G328">
        <v>0</v>
      </c>
      <c r="H328">
        <v>0</v>
      </c>
      <c r="I328">
        <v>0</v>
      </c>
      <c r="J328">
        <v>0</v>
      </c>
      <c r="K328">
        <v>33</v>
      </c>
      <c r="L328">
        <v>0</v>
      </c>
      <c r="M328">
        <v>0</v>
      </c>
      <c r="N328">
        <v>1407</v>
      </c>
      <c r="O328">
        <v>2664</v>
      </c>
      <c r="P328" s="3" t="str" cm="1">
        <f t="array" ref="P328">_xlfn.XLOOKUP(A328&amp;B328,'[1]Daily Sleep'!$A$2:$A$468&amp;'[1]Daily Sleep'!$B$2:$B$468,'[1]Daily Sleep'!$D$2:$D$468,"")</f>
        <v/>
      </c>
      <c r="Q328" t="str">
        <f t="shared" si="10"/>
        <v>Sunday</v>
      </c>
      <c r="R328" t="str">
        <f t="shared" si="11"/>
        <v>Weekday</v>
      </c>
    </row>
    <row r="329" spans="1:18" x14ac:dyDescent="0.35">
      <c r="A329">
        <v>6290855005</v>
      </c>
      <c r="B329" s="1">
        <v>42464</v>
      </c>
      <c r="C329">
        <v>0</v>
      </c>
      <c r="D329">
        <v>0</v>
      </c>
      <c r="E329">
        <v>0</v>
      </c>
      <c r="F329">
        <v>0</v>
      </c>
      <c r="G329">
        <v>0</v>
      </c>
      <c r="H329">
        <v>0</v>
      </c>
      <c r="I329">
        <v>0</v>
      </c>
      <c r="J329">
        <v>0</v>
      </c>
      <c r="K329">
        <v>0</v>
      </c>
      <c r="L329">
        <v>0</v>
      </c>
      <c r="M329">
        <v>0</v>
      </c>
      <c r="N329">
        <v>1440</v>
      </c>
      <c r="O329">
        <v>2060</v>
      </c>
      <c r="P329" s="3" t="str" cm="1">
        <f t="array" ref="P329">_xlfn.XLOOKUP(A329&amp;B329,'[1]Daily Sleep'!$A$2:$A$468&amp;'[1]Daily Sleep'!$B$2:$B$468,'[1]Daily Sleep'!$D$2:$D$468,"")</f>
        <v/>
      </c>
      <c r="Q329" t="str">
        <f t="shared" si="10"/>
        <v>Monday</v>
      </c>
      <c r="R329" t="str">
        <f t="shared" si="11"/>
        <v>Weekday</v>
      </c>
    </row>
    <row r="330" spans="1:18" x14ac:dyDescent="0.35">
      <c r="A330">
        <v>6290855005</v>
      </c>
      <c r="B330" s="1">
        <v>42465</v>
      </c>
      <c r="C330">
        <v>0</v>
      </c>
      <c r="D330">
        <v>0</v>
      </c>
      <c r="E330">
        <v>0</v>
      </c>
      <c r="F330">
        <v>0</v>
      </c>
      <c r="G330">
        <v>0</v>
      </c>
      <c r="H330">
        <v>0</v>
      </c>
      <c r="I330">
        <v>0</v>
      </c>
      <c r="J330">
        <v>0</v>
      </c>
      <c r="K330">
        <v>0</v>
      </c>
      <c r="L330">
        <v>0</v>
      </c>
      <c r="M330">
        <v>0</v>
      </c>
      <c r="N330">
        <v>1440</v>
      </c>
      <c r="O330">
        <v>2060</v>
      </c>
      <c r="P330" s="3" t="str" cm="1">
        <f t="array" ref="P330">_xlfn.XLOOKUP(A330&amp;B330,'[1]Daily Sleep'!$A$2:$A$468&amp;'[1]Daily Sleep'!$B$2:$B$468,'[1]Daily Sleep'!$D$2:$D$468,"")</f>
        <v/>
      </c>
      <c r="Q330" t="str">
        <f t="shared" si="10"/>
        <v>Tuesday</v>
      </c>
      <c r="R330" t="str">
        <f t="shared" si="11"/>
        <v>Weekday</v>
      </c>
    </row>
    <row r="331" spans="1:18" x14ac:dyDescent="0.35">
      <c r="A331">
        <v>6290855005</v>
      </c>
      <c r="B331" s="1">
        <v>42466</v>
      </c>
      <c r="C331">
        <v>0</v>
      </c>
      <c r="D331">
        <v>0</v>
      </c>
      <c r="E331">
        <v>0</v>
      </c>
      <c r="F331">
        <v>0</v>
      </c>
      <c r="G331">
        <v>0</v>
      </c>
      <c r="H331">
        <v>0</v>
      </c>
      <c r="I331">
        <v>0</v>
      </c>
      <c r="J331">
        <v>0</v>
      </c>
      <c r="K331">
        <v>0</v>
      </c>
      <c r="L331">
        <v>0</v>
      </c>
      <c r="M331">
        <v>0</v>
      </c>
      <c r="N331">
        <v>1440</v>
      </c>
      <c r="O331">
        <v>2060</v>
      </c>
      <c r="P331" s="3" t="str" cm="1">
        <f t="array" ref="P331">_xlfn.XLOOKUP(A331&amp;B331,'[1]Daily Sleep'!$A$2:$A$468&amp;'[1]Daily Sleep'!$B$2:$B$468,'[1]Daily Sleep'!$D$2:$D$468,"")</f>
        <v/>
      </c>
      <c r="Q331" t="str">
        <f t="shared" si="10"/>
        <v>Wednesday</v>
      </c>
      <c r="R331" t="str">
        <f t="shared" si="11"/>
        <v>Weekday</v>
      </c>
    </row>
    <row r="332" spans="1:18" x14ac:dyDescent="0.35">
      <c r="A332">
        <v>6290855005</v>
      </c>
      <c r="B332" s="1">
        <v>42467</v>
      </c>
      <c r="C332">
        <v>0</v>
      </c>
      <c r="D332">
        <v>0</v>
      </c>
      <c r="E332">
        <v>0</v>
      </c>
      <c r="F332">
        <v>0</v>
      </c>
      <c r="G332">
        <v>0</v>
      </c>
      <c r="H332">
        <v>0</v>
      </c>
      <c r="I332">
        <v>0</v>
      </c>
      <c r="J332">
        <v>0</v>
      </c>
      <c r="K332">
        <v>0</v>
      </c>
      <c r="L332">
        <v>0</v>
      </c>
      <c r="M332">
        <v>0</v>
      </c>
      <c r="N332">
        <v>1440</v>
      </c>
      <c r="O332">
        <v>2060</v>
      </c>
      <c r="P332" s="3" t="str" cm="1">
        <f t="array" ref="P332">_xlfn.XLOOKUP(A332&amp;B332,'[1]Daily Sleep'!$A$2:$A$468&amp;'[1]Daily Sleep'!$B$2:$B$468,'[1]Daily Sleep'!$D$2:$D$468,"")</f>
        <v/>
      </c>
      <c r="Q332" t="str">
        <f t="shared" si="10"/>
        <v>Thursday</v>
      </c>
      <c r="R332" t="str">
        <f t="shared" si="11"/>
        <v>Weekend</v>
      </c>
    </row>
    <row r="333" spans="1:18" x14ac:dyDescent="0.35">
      <c r="A333">
        <v>6290855005</v>
      </c>
      <c r="B333" s="1">
        <v>42468</v>
      </c>
      <c r="C333">
        <v>0</v>
      </c>
      <c r="D333">
        <v>0</v>
      </c>
      <c r="E333">
        <v>0</v>
      </c>
      <c r="F333">
        <v>0</v>
      </c>
      <c r="G333">
        <v>0</v>
      </c>
      <c r="H333">
        <v>0</v>
      </c>
      <c r="I333">
        <v>0</v>
      </c>
      <c r="J333">
        <v>0</v>
      </c>
      <c r="K333">
        <v>0</v>
      </c>
      <c r="L333">
        <v>0</v>
      </c>
      <c r="M333">
        <v>0</v>
      </c>
      <c r="N333">
        <v>1440</v>
      </c>
      <c r="O333">
        <v>2060</v>
      </c>
      <c r="P333" s="3" t="str" cm="1">
        <f t="array" ref="P333">_xlfn.XLOOKUP(A333&amp;B333,'[1]Daily Sleep'!$A$2:$A$468&amp;'[1]Daily Sleep'!$B$2:$B$468,'[1]Daily Sleep'!$D$2:$D$468,"")</f>
        <v/>
      </c>
      <c r="Q333" t="str">
        <f t="shared" si="10"/>
        <v>Friday</v>
      </c>
      <c r="R333" t="str">
        <f t="shared" si="11"/>
        <v>Weekend</v>
      </c>
    </row>
    <row r="334" spans="1:18" x14ac:dyDescent="0.35">
      <c r="A334">
        <v>6290855005</v>
      </c>
      <c r="B334" s="1">
        <v>42469</v>
      </c>
      <c r="C334">
        <v>0</v>
      </c>
      <c r="D334">
        <v>0</v>
      </c>
      <c r="E334">
        <v>0</v>
      </c>
      <c r="F334">
        <v>0</v>
      </c>
      <c r="G334">
        <v>0</v>
      </c>
      <c r="H334">
        <v>0</v>
      </c>
      <c r="I334">
        <v>0</v>
      </c>
      <c r="J334">
        <v>0</v>
      </c>
      <c r="K334">
        <v>0</v>
      </c>
      <c r="L334">
        <v>0</v>
      </c>
      <c r="M334">
        <v>0</v>
      </c>
      <c r="N334">
        <v>1440</v>
      </c>
      <c r="O334">
        <v>2060</v>
      </c>
      <c r="P334" s="3" t="str" cm="1">
        <f t="array" ref="P334">_xlfn.XLOOKUP(A334&amp;B334,'[1]Daily Sleep'!$A$2:$A$468&amp;'[1]Daily Sleep'!$B$2:$B$468,'[1]Daily Sleep'!$D$2:$D$468,"")</f>
        <v/>
      </c>
      <c r="Q334" t="str">
        <f t="shared" si="10"/>
        <v>Saturday</v>
      </c>
      <c r="R334" t="str">
        <f t="shared" si="11"/>
        <v>Weekday</v>
      </c>
    </row>
    <row r="335" spans="1:18" x14ac:dyDescent="0.35">
      <c r="A335">
        <v>6290855005</v>
      </c>
      <c r="B335" s="1">
        <v>42470</v>
      </c>
      <c r="C335">
        <v>0</v>
      </c>
      <c r="D335">
        <v>0</v>
      </c>
      <c r="E335">
        <v>0</v>
      </c>
      <c r="F335">
        <v>0</v>
      </c>
      <c r="G335">
        <v>0</v>
      </c>
      <c r="H335">
        <v>0</v>
      </c>
      <c r="I335">
        <v>0</v>
      </c>
      <c r="J335">
        <v>0</v>
      </c>
      <c r="K335">
        <v>20</v>
      </c>
      <c r="L335">
        <v>0</v>
      </c>
      <c r="M335">
        <v>0</v>
      </c>
      <c r="N335">
        <v>494</v>
      </c>
      <c r="O335">
        <v>735</v>
      </c>
      <c r="P335" s="3" t="str" cm="1">
        <f t="array" ref="P335">_xlfn.XLOOKUP(A335&amp;B335,'[1]Daily Sleep'!$A$2:$A$468&amp;'[1]Daily Sleep'!$B$2:$B$468,'[1]Daily Sleep'!$D$2:$D$468,"")</f>
        <v/>
      </c>
      <c r="Q335" t="str">
        <f t="shared" si="10"/>
        <v>Sunday</v>
      </c>
      <c r="R335" t="str">
        <f t="shared" si="11"/>
        <v>Weekend</v>
      </c>
    </row>
    <row r="336" spans="1:18" x14ac:dyDescent="0.35">
      <c r="A336">
        <v>6391747486</v>
      </c>
      <c r="B336" s="1">
        <v>42461</v>
      </c>
      <c r="C336">
        <v>0</v>
      </c>
      <c r="D336">
        <v>0</v>
      </c>
      <c r="E336">
        <v>0</v>
      </c>
      <c r="F336">
        <v>0</v>
      </c>
      <c r="G336">
        <v>0</v>
      </c>
      <c r="H336">
        <v>0</v>
      </c>
      <c r="I336">
        <v>0</v>
      </c>
      <c r="J336">
        <v>0</v>
      </c>
      <c r="K336">
        <v>0</v>
      </c>
      <c r="L336">
        <v>0</v>
      </c>
      <c r="M336">
        <v>0</v>
      </c>
      <c r="N336">
        <v>1440</v>
      </c>
      <c r="O336">
        <v>1820</v>
      </c>
      <c r="P336" s="3" t="str" cm="1">
        <f t="array" ref="P336">_xlfn.XLOOKUP(A336&amp;B336,'[1]Daily Sleep'!$A$2:$A$468&amp;'[1]Daily Sleep'!$B$2:$B$468,'[1]Daily Sleep'!$D$2:$D$468,"")</f>
        <v/>
      </c>
      <c r="Q336" t="str">
        <f t="shared" si="10"/>
        <v>Friday</v>
      </c>
      <c r="R336" t="str">
        <f t="shared" si="11"/>
        <v>Weekend</v>
      </c>
    </row>
    <row r="337" spans="1:18" x14ac:dyDescent="0.35">
      <c r="A337">
        <v>6391747486</v>
      </c>
      <c r="B337" s="1">
        <v>42462</v>
      </c>
      <c r="C337">
        <v>2101</v>
      </c>
      <c r="D337">
        <v>2.0299999713897701</v>
      </c>
      <c r="E337">
        <v>0</v>
      </c>
      <c r="F337">
        <v>2.0277729034423801</v>
      </c>
      <c r="G337">
        <v>2.0299999713897701</v>
      </c>
      <c r="H337">
        <v>0</v>
      </c>
      <c r="I337">
        <v>0</v>
      </c>
      <c r="J337">
        <v>0</v>
      </c>
      <c r="K337">
        <v>46</v>
      </c>
      <c r="L337">
        <v>0</v>
      </c>
      <c r="M337">
        <v>0</v>
      </c>
      <c r="N337">
        <v>1394</v>
      </c>
      <c r="O337">
        <v>2224</v>
      </c>
      <c r="P337" s="3" t="str" cm="1">
        <f t="array" ref="P337">_xlfn.XLOOKUP(A337&amp;B337,'[1]Daily Sleep'!$A$2:$A$468&amp;'[1]Daily Sleep'!$B$2:$B$468,'[1]Daily Sleep'!$D$2:$D$468,"")</f>
        <v/>
      </c>
      <c r="Q337" t="str">
        <f t="shared" si="10"/>
        <v>Saturday</v>
      </c>
      <c r="R337" t="str">
        <f t="shared" si="11"/>
        <v>Weekday</v>
      </c>
    </row>
    <row r="338" spans="1:18" x14ac:dyDescent="0.35">
      <c r="A338">
        <v>6391747486</v>
      </c>
      <c r="B338" s="1">
        <v>42463</v>
      </c>
      <c r="C338">
        <v>0</v>
      </c>
      <c r="D338">
        <v>0</v>
      </c>
      <c r="E338">
        <v>0</v>
      </c>
      <c r="F338">
        <v>0</v>
      </c>
      <c r="G338">
        <v>0</v>
      </c>
      <c r="H338">
        <v>0</v>
      </c>
      <c r="I338">
        <v>0</v>
      </c>
      <c r="J338">
        <v>0</v>
      </c>
      <c r="K338">
        <v>0</v>
      </c>
      <c r="L338">
        <v>0</v>
      </c>
      <c r="M338">
        <v>0</v>
      </c>
      <c r="N338">
        <v>1440</v>
      </c>
      <c r="O338">
        <v>1820</v>
      </c>
      <c r="P338" s="3" t="str" cm="1">
        <f t="array" ref="P338">_xlfn.XLOOKUP(A338&amp;B338,'[1]Daily Sleep'!$A$2:$A$468&amp;'[1]Daily Sleep'!$B$2:$B$468,'[1]Daily Sleep'!$D$2:$D$468,"")</f>
        <v/>
      </c>
      <c r="Q338" t="str">
        <f t="shared" si="10"/>
        <v>Sunday</v>
      </c>
      <c r="R338" t="str">
        <f t="shared" si="11"/>
        <v>Weekday</v>
      </c>
    </row>
    <row r="339" spans="1:18" x14ac:dyDescent="0.35">
      <c r="A339">
        <v>6391747486</v>
      </c>
      <c r="B339" s="1">
        <v>42464</v>
      </c>
      <c r="C339">
        <v>0</v>
      </c>
      <c r="D339">
        <v>0</v>
      </c>
      <c r="E339">
        <v>0</v>
      </c>
      <c r="F339">
        <v>0</v>
      </c>
      <c r="G339">
        <v>0</v>
      </c>
      <c r="H339">
        <v>0</v>
      </c>
      <c r="I339">
        <v>0</v>
      </c>
      <c r="J339">
        <v>0</v>
      </c>
      <c r="K339">
        <v>0</v>
      </c>
      <c r="L339">
        <v>0</v>
      </c>
      <c r="M339">
        <v>0</v>
      </c>
      <c r="N339">
        <v>1440</v>
      </c>
      <c r="O339">
        <v>1820</v>
      </c>
      <c r="P339" s="3" t="str" cm="1">
        <f t="array" ref="P339">_xlfn.XLOOKUP(A339&amp;B339,'[1]Daily Sleep'!$A$2:$A$468&amp;'[1]Daily Sleep'!$B$2:$B$468,'[1]Daily Sleep'!$D$2:$D$468,"")</f>
        <v/>
      </c>
      <c r="Q339" t="str">
        <f t="shared" si="10"/>
        <v>Monday</v>
      </c>
      <c r="R339" t="str">
        <f t="shared" si="11"/>
        <v>Weekday</v>
      </c>
    </row>
    <row r="340" spans="1:18" x14ac:dyDescent="0.35">
      <c r="A340">
        <v>6391747486</v>
      </c>
      <c r="B340" s="1">
        <v>42465</v>
      </c>
      <c r="C340">
        <v>9766</v>
      </c>
      <c r="D340">
        <v>7.5100002288818404</v>
      </c>
      <c r="E340">
        <v>0.77999997138977095</v>
      </c>
      <c r="F340">
        <v>6.7270569801330602</v>
      </c>
      <c r="G340">
        <v>0</v>
      </c>
      <c r="H340">
        <v>5.0000000745058101E-2</v>
      </c>
      <c r="I340">
        <v>7.46000003814697</v>
      </c>
      <c r="J340">
        <v>0</v>
      </c>
      <c r="K340">
        <v>0</v>
      </c>
      <c r="L340">
        <v>6</v>
      </c>
      <c r="M340">
        <v>301</v>
      </c>
      <c r="N340">
        <v>1133</v>
      </c>
      <c r="O340">
        <v>2442</v>
      </c>
      <c r="P340" s="3" t="str" cm="1">
        <f t="array" ref="P340">_xlfn.XLOOKUP(A340&amp;B340,'[1]Daily Sleep'!$A$2:$A$468&amp;'[1]Daily Sleep'!$B$2:$B$468,'[1]Daily Sleep'!$D$2:$D$468,"")</f>
        <v/>
      </c>
      <c r="Q340" t="str">
        <f t="shared" si="10"/>
        <v>Tuesday</v>
      </c>
      <c r="R340" t="str">
        <f t="shared" si="11"/>
        <v>Weekday</v>
      </c>
    </row>
    <row r="341" spans="1:18" x14ac:dyDescent="0.35">
      <c r="A341">
        <v>6391747486</v>
      </c>
      <c r="B341" s="1">
        <v>42466</v>
      </c>
      <c r="C341">
        <v>165</v>
      </c>
      <c r="D341">
        <v>0.129999995231628</v>
      </c>
      <c r="E341">
        <v>0.129999995231628</v>
      </c>
      <c r="F341">
        <v>0</v>
      </c>
      <c r="G341">
        <v>0</v>
      </c>
      <c r="H341">
        <v>0</v>
      </c>
      <c r="I341">
        <v>0.129999995231628</v>
      </c>
      <c r="J341">
        <v>0</v>
      </c>
      <c r="K341">
        <v>0</v>
      </c>
      <c r="L341">
        <v>0</v>
      </c>
      <c r="M341">
        <v>8</v>
      </c>
      <c r="N341">
        <v>1432</v>
      </c>
      <c r="O341">
        <v>1849</v>
      </c>
      <c r="P341" s="3" t="str" cm="1">
        <f t="array" ref="P341">_xlfn.XLOOKUP(A341&amp;B341,'[1]Daily Sleep'!$A$2:$A$468&amp;'[1]Daily Sleep'!$B$2:$B$468,'[1]Daily Sleep'!$D$2:$D$468,"")</f>
        <v/>
      </c>
      <c r="Q341" t="str">
        <f t="shared" si="10"/>
        <v>Wednesday</v>
      </c>
      <c r="R341" t="str">
        <f t="shared" si="11"/>
        <v>Weekday</v>
      </c>
    </row>
    <row r="342" spans="1:18" x14ac:dyDescent="0.35">
      <c r="A342">
        <v>6391747486</v>
      </c>
      <c r="B342" s="1">
        <v>42467</v>
      </c>
      <c r="C342">
        <v>0</v>
      </c>
      <c r="D342">
        <v>0</v>
      </c>
      <c r="E342">
        <v>0</v>
      </c>
      <c r="F342">
        <v>0</v>
      </c>
      <c r="G342">
        <v>0</v>
      </c>
      <c r="H342">
        <v>0</v>
      </c>
      <c r="I342">
        <v>0</v>
      </c>
      <c r="J342">
        <v>0</v>
      </c>
      <c r="K342">
        <v>0</v>
      </c>
      <c r="L342">
        <v>0</v>
      </c>
      <c r="M342">
        <v>0</v>
      </c>
      <c r="N342">
        <v>1440</v>
      </c>
      <c r="O342">
        <v>1822</v>
      </c>
      <c r="P342" s="3" t="str" cm="1">
        <f t="array" ref="P342">_xlfn.XLOOKUP(A342&amp;B342,'[1]Daily Sleep'!$A$2:$A$468&amp;'[1]Daily Sleep'!$B$2:$B$468,'[1]Daily Sleep'!$D$2:$D$468,"")</f>
        <v/>
      </c>
      <c r="Q342" t="str">
        <f t="shared" si="10"/>
        <v>Thursday</v>
      </c>
      <c r="R342" t="str">
        <f t="shared" si="11"/>
        <v>Weekend</v>
      </c>
    </row>
    <row r="343" spans="1:18" x14ac:dyDescent="0.35">
      <c r="A343">
        <v>6391747486</v>
      </c>
      <c r="B343" s="1">
        <v>42468</v>
      </c>
      <c r="C343">
        <v>0</v>
      </c>
      <c r="D343">
        <v>0</v>
      </c>
      <c r="E343">
        <v>0</v>
      </c>
      <c r="F343">
        <v>0</v>
      </c>
      <c r="G343">
        <v>0</v>
      </c>
      <c r="H343">
        <v>0</v>
      </c>
      <c r="I343">
        <v>0</v>
      </c>
      <c r="J343">
        <v>0</v>
      </c>
      <c r="K343">
        <v>0</v>
      </c>
      <c r="L343">
        <v>0</v>
      </c>
      <c r="M343">
        <v>0</v>
      </c>
      <c r="N343">
        <v>1440</v>
      </c>
      <c r="O343">
        <v>1820</v>
      </c>
      <c r="P343" s="3" t="str" cm="1">
        <f t="array" ref="P343">_xlfn.XLOOKUP(A343&amp;B343,'[1]Daily Sleep'!$A$2:$A$468&amp;'[1]Daily Sleep'!$B$2:$B$468,'[1]Daily Sleep'!$D$2:$D$468,"")</f>
        <v/>
      </c>
      <c r="Q343" t="str">
        <f t="shared" si="10"/>
        <v>Friday</v>
      </c>
      <c r="R343" t="str">
        <f t="shared" si="11"/>
        <v>Weekend</v>
      </c>
    </row>
    <row r="344" spans="1:18" x14ac:dyDescent="0.35">
      <c r="A344">
        <v>6391747486</v>
      </c>
      <c r="B344" s="1">
        <v>42469</v>
      </c>
      <c r="C344">
        <v>0</v>
      </c>
      <c r="D344">
        <v>0</v>
      </c>
      <c r="E344">
        <v>0</v>
      </c>
      <c r="F344">
        <v>0</v>
      </c>
      <c r="G344">
        <v>0</v>
      </c>
      <c r="H344">
        <v>0</v>
      </c>
      <c r="I344">
        <v>0</v>
      </c>
      <c r="J344">
        <v>0</v>
      </c>
      <c r="K344">
        <v>0</v>
      </c>
      <c r="L344">
        <v>0</v>
      </c>
      <c r="M344">
        <v>0</v>
      </c>
      <c r="N344">
        <v>198</v>
      </c>
      <c r="O344">
        <v>251</v>
      </c>
      <c r="P344" s="3" t="str" cm="1">
        <f t="array" ref="P344">_xlfn.XLOOKUP(A344&amp;B344,'[1]Daily Sleep'!$A$2:$A$468&amp;'[1]Daily Sleep'!$B$2:$B$468,'[1]Daily Sleep'!$D$2:$D$468,"")</f>
        <v/>
      </c>
      <c r="Q344" t="str">
        <f t="shared" si="10"/>
        <v>Saturday</v>
      </c>
      <c r="R344" t="str">
        <f t="shared" si="11"/>
        <v>Weekend</v>
      </c>
    </row>
    <row r="345" spans="1:18" x14ac:dyDescent="0.35">
      <c r="A345">
        <v>6775888955</v>
      </c>
      <c r="B345" s="1">
        <v>42461</v>
      </c>
      <c r="C345">
        <v>7225</v>
      </c>
      <c r="D345">
        <v>5.1799998283386204</v>
      </c>
      <c r="E345">
        <v>5.1799998283386204</v>
      </c>
      <c r="F345">
        <v>0</v>
      </c>
      <c r="G345">
        <v>1.7300000190734901</v>
      </c>
      <c r="H345">
        <v>1.2699999809265099</v>
      </c>
      <c r="I345">
        <v>2.1800000667571999</v>
      </c>
      <c r="J345">
        <v>0</v>
      </c>
      <c r="K345">
        <v>25</v>
      </c>
      <c r="L345">
        <v>50</v>
      </c>
      <c r="M345">
        <v>163</v>
      </c>
      <c r="N345">
        <v>1189</v>
      </c>
      <c r="O345">
        <v>3065</v>
      </c>
      <c r="P345" s="3" cm="1">
        <f t="array" ref="P345">_xlfn.XLOOKUP(A345&amp;B345,'[1]Daily Sleep'!$A$2:$A$468&amp;'[1]Daily Sleep'!$B$2:$B$468,'[1]Daily Sleep'!$D$2:$D$468,"")</f>
        <v>0.16666666666666666</v>
      </c>
      <c r="Q345" t="str">
        <f t="shared" si="10"/>
        <v>Friday</v>
      </c>
      <c r="R345" t="str">
        <f t="shared" si="11"/>
        <v>Weekend</v>
      </c>
    </row>
    <row r="346" spans="1:18" x14ac:dyDescent="0.35">
      <c r="A346">
        <v>6775888955</v>
      </c>
      <c r="B346" s="1">
        <v>42462</v>
      </c>
      <c r="C346">
        <v>1988</v>
      </c>
      <c r="D346">
        <v>1.4299999475479099</v>
      </c>
      <c r="E346">
        <v>1.4299999475479099</v>
      </c>
      <c r="F346">
        <v>0</v>
      </c>
      <c r="G346">
        <v>0</v>
      </c>
      <c r="H346">
        <v>0</v>
      </c>
      <c r="I346">
        <v>1.4299999475479099</v>
      </c>
      <c r="J346">
        <v>0</v>
      </c>
      <c r="K346">
        <v>0</v>
      </c>
      <c r="L346">
        <v>0</v>
      </c>
      <c r="M346">
        <v>79</v>
      </c>
      <c r="N346">
        <v>909</v>
      </c>
      <c r="O346">
        <v>2207</v>
      </c>
      <c r="P346" s="3" cm="1">
        <f t="array" ref="P346">_xlfn.XLOOKUP(A346&amp;B346,'[1]Daily Sleep'!$A$2:$A$468&amp;'[1]Daily Sleep'!$B$2:$B$468,'[1]Daily Sleep'!$D$2:$D$468,"")</f>
        <v>7.15</v>
      </c>
      <c r="Q346" t="str">
        <f t="shared" si="10"/>
        <v>Saturday</v>
      </c>
      <c r="R346" t="str">
        <f t="shared" si="11"/>
        <v>Weekday</v>
      </c>
    </row>
    <row r="347" spans="1:18" x14ac:dyDescent="0.35">
      <c r="A347">
        <v>6775888955</v>
      </c>
      <c r="B347" s="1">
        <v>42463</v>
      </c>
      <c r="C347">
        <v>1577</v>
      </c>
      <c r="D347">
        <v>1.12999999523163</v>
      </c>
      <c r="E347">
        <v>1.12999999523163</v>
      </c>
      <c r="F347">
        <v>0</v>
      </c>
      <c r="G347">
        <v>7.0000000298023196E-2</v>
      </c>
      <c r="H347">
        <v>0.88999998569488503</v>
      </c>
      <c r="I347">
        <v>0.17000000178813901</v>
      </c>
      <c r="J347">
        <v>0</v>
      </c>
      <c r="K347">
        <v>1</v>
      </c>
      <c r="L347">
        <v>17</v>
      </c>
      <c r="M347">
        <v>8</v>
      </c>
      <c r="N347">
        <v>1414</v>
      </c>
      <c r="O347">
        <v>1977</v>
      </c>
      <c r="P347" s="3" t="str" cm="1">
        <f t="array" ref="P347">_xlfn.XLOOKUP(A347&amp;B347,'[1]Daily Sleep'!$A$2:$A$468&amp;'[1]Daily Sleep'!$B$2:$B$468,'[1]Daily Sleep'!$D$2:$D$468,"")</f>
        <v/>
      </c>
      <c r="Q347" t="str">
        <f t="shared" si="10"/>
        <v>Sunday</v>
      </c>
      <c r="R347" t="str">
        <f t="shared" si="11"/>
        <v>Weekday</v>
      </c>
    </row>
    <row r="348" spans="1:18" x14ac:dyDescent="0.35">
      <c r="A348">
        <v>6775888955</v>
      </c>
      <c r="B348" s="1">
        <v>42464</v>
      </c>
      <c r="C348">
        <v>0</v>
      </c>
      <c r="D348">
        <v>0</v>
      </c>
      <c r="E348">
        <v>0</v>
      </c>
      <c r="F348">
        <v>0</v>
      </c>
      <c r="G348">
        <v>0</v>
      </c>
      <c r="H348">
        <v>0</v>
      </c>
      <c r="I348">
        <v>0</v>
      </c>
      <c r="J348">
        <v>0</v>
      </c>
      <c r="K348">
        <v>0</v>
      </c>
      <c r="L348">
        <v>0</v>
      </c>
      <c r="M348">
        <v>0</v>
      </c>
      <c r="N348">
        <v>1440</v>
      </c>
      <c r="O348">
        <v>1841</v>
      </c>
      <c r="P348" s="3" t="str" cm="1">
        <f t="array" ref="P348">_xlfn.XLOOKUP(A348&amp;B348,'[1]Daily Sleep'!$A$2:$A$468&amp;'[1]Daily Sleep'!$B$2:$B$468,'[1]Daily Sleep'!$D$2:$D$468,"")</f>
        <v/>
      </c>
      <c r="Q348" t="str">
        <f t="shared" si="10"/>
        <v>Monday</v>
      </c>
      <c r="R348" t="str">
        <f t="shared" si="11"/>
        <v>Weekday</v>
      </c>
    </row>
    <row r="349" spans="1:18" x14ac:dyDescent="0.35">
      <c r="A349">
        <v>6775888955</v>
      </c>
      <c r="B349" s="1">
        <v>42465</v>
      </c>
      <c r="C349">
        <v>9348</v>
      </c>
      <c r="D349">
        <v>6.6999998092651403</v>
      </c>
      <c r="E349">
        <v>6.6999998092651403</v>
      </c>
      <c r="F349">
        <v>0</v>
      </c>
      <c r="G349">
        <v>1.12999999523163</v>
      </c>
      <c r="H349">
        <v>2.03999996185303</v>
      </c>
      <c r="I349">
        <v>3.1400001049041699</v>
      </c>
      <c r="J349">
        <v>0</v>
      </c>
      <c r="K349">
        <v>56</v>
      </c>
      <c r="L349">
        <v>133</v>
      </c>
      <c r="M349">
        <v>240</v>
      </c>
      <c r="N349">
        <v>1011</v>
      </c>
      <c r="O349">
        <v>4286</v>
      </c>
      <c r="P349" s="3" t="str" cm="1">
        <f t="array" ref="P349">_xlfn.XLOOKUP(A349&amp;B349,'[1]Daily Sleep'!$A$2:$A$468&amp;'[1]Daily Sleep'!$B$2:$B$468,'[1]Daily Sleep'!$D$2:$D$468,"")</f>
        <v/>
      </c>
      <c r="Q349" t="str">
        <f t="shared" si="10"/>
        <v>Tuesday</v>
      </c>
      <c r="R349" t="str">
        <f t="shared" si="11"/>
        <v>Weekday</v>
      </c>
    </row>
    <row r="350" spans="1:18" x14ac:dyDescent="0.35">
      <c r="A350">
        <v>6775888955</v>
      </c>
      <c r="B350" s="1">
        <v>42466</v>
      </c>
      <c r="C350">
        <v>11761</v>
      </c>
      <c r="D350">
        <v>8.4300003051757795</v>
      </c>
      <c r="E350">
        <v>8.4300003051757795</v>
      </c>
      <c r="F350">
        <v>0</v>
      </c>
      <c r="G350">
        <v>1.3099999427795399</v>
      </c>
      <c r="H350">
        <v>2.4400000572204599</v>
      </c>
      <c r="I350">
        <v>4.6799998283386204</v>
      </c>
      <c r="J350">
        <v>0</v>
      </c>
      <c r="K350">
        <v>24</v>
      </c>
      <c r="L350">
        <v>99</v>
      </c>
      <c r="M350">
        <v>300</v>
      </c>
      <c r="N350">
        <v>550</v>
      </c>
      <c r="O350">
        <v>3920</v>
      </c>
      <c r="P350" s="3" cm="1">
        <f t="array" ref="P350">_xlfn.XLOOKUP(A350&amp;B350,'[1]Daily Sleep'!$A$2:$A$468&amp;'[1]Daily Sleep'!$B$2:$B$468,'[1]Daily Sleep'!$D$2:$D$468,"")</f>
        <v>7.35</v>
      </c>
      <c r="Q350" t="str">
        <f t="shared" si="10"/>
        <v>Wednesday</v>
      </c>
      <c r="R350" t="str">
        <f t="shared" si="11"/>
        <v>Weekday</v>
      </c>
    </row>
    <row r="351" spans="1:18" x14ac:dyDescent="0.35">
      <c r="A351">
        <v>6775888955</v>
      </c>
      <c r="B351" s="1">
        <v>42467</v>
      </c>
      <c r="C351">
        <v>13987</v>
      </c>
      <c r="D351">
        <v>10.0299997329712</v>
      </c>
      <c r="E351">
        <v>10.0299997329712</v>
      </c>
      <c r="F351">
        <v>0</v>
      </c>
      <c r="G351">
        <v>2.8699998855590798</v>
      </c>
      <c r="H351">
        <v>3.3399999141693102</v>
      </c>
      <c r="I351">
        <v>3.8199999332428001</v>
      </c>
      <c r="J351">
        <v>0</v>
      </c>
      <c r="K351">
        <v>46</v>
      </c>
      <c r="L351">
        <v>114</v>
      </c>
      <c r="M351">
        <v>250</v>
      </c>
      <c r="N351">
        <v>739</v>
      </c>
      <c r="O351">
        <v>3856</v>
      </c>
      <c r="P351" s="3" cm="1">
        <f t="array" ref="P351">_xlfn.XLOOKUP(A351&amp;B351,'[1]Daily Sleep'!$A$2:$A$468&amp;'[1]Daily Sleep'!$B$2:$B$468,'[1]Daily Sleep'!$D$2:$D$468,"")</f>
        <v>4.583333333333333</v>
      </c>
      <c r="Q351" t="str">
        <f t="shared" si="10"/>
        <v>Thursday</v>
      </c>
      <c r="R351" t="str">
        <f t="shared" si="11"/>
        <v>Weekend</v>
      </c>
    </row>
    <row r="352" spans="1:18" x14ac:dyDescent="0.35">
      <c r="A352">
        <v>6775888955</v>
      </c>
      <c r="B352" s="1">
        <v>42468</v>
      </c>
      <c r="C352">
        <v>4131</v>
      </c>
      <c r="D352">
        <v>2.96000003814697</v>
      </c>
      <c r="E352">
        <v>2.96000003814697</v>
      </c>
      <c r="F352">
        <v>0</v>
      </c>
      <c r="G352">
        <v>1.37000000476837</v>
      </c>
      <c r="H352">
        <v>0.61000001430511497</v>
      </c>
      <c r="I352">
        <v>0.980000019073486</v>
      </c>
      <c r="J352">
        <v>0</v>
      </c>
      <c r="K352">
        <v>27</v>
      </c>
      <c r="L352">
        <v>30</v>
      </c>
      <c r="M352">
        <v>75</v>
      </c>
      <c r="N352">
        <v>1308</v>
      </c>
      <c r="O352">
        <v>2584</v>
      </c>
      <c r="P352" s="3" t="str" cm="1">
        <f t="array" ref="P352">_xlfn.XLOOKUP(A352&amp;B352,'[1]Daily Sleep'!$A$2:$A$468&amp;'[1]Daily Sleep'!$B$2:$B$468,'[1]Daily Sleep'!$D$2:$D$468,"")</f>
        <v/>
      </c>
      <c r="Q352" t="str">
        <f t="shared" si="10"/>
        <v>Friday</v>
      </c>
      <c r="R352" t="str">
        <f t="shared" si="11"/>
        <v>Weekend</v>
      </c>
    </row>
    <row r="353" spans="1:18" x14ac:dyDescent="0.35">
      <c r="A353">
        <v>6775888955</v>
      </c>
      <c r="B353" s="1">
        <v>42469</v>
      </c>
      <c r="C353">
        <v>14</v>
      </c>
      <c r="D353">
        <v>9.9999997764825804E-3</v>
      </c>
      <c r="E353">
        <v>9.9999997764825804E-3</v>
      </c>
      <c r="F353">
        <v>0</v>
      </c>
      <c r="G353">
        <v>0</v>
      </c>
      <c r="H353">
        <v>0</v>
      </c>
      <c r="I353">
        <v>9.9999997764825804E-3</v>
      </c>
      <c r="J353">
        <v>0</v>
      </c>
      <c r="K353">
        <v>0</v>
      </c>
      <c r="L353">
        <v>0</v>
      </c>
      <c r="M353">
        <v>1</v>
      </c>
      <c r="N353">
        <v>601</v>
      </c>
      <c r="O353">
        <v>787</v>
      </c>
      <c r="P353" s="3" t="str" cm="1">
        <f t="array" ref="P353">_xlfn.XLOOKUP(A353&amp;B353,'[1]Daily Sleep'!$A$2:$A$468&amp;'[1]Daily Sleep'!$B$2:$B$468,'[1]Daily Sleep'!$D$2:$D$468,"")</f>
        <v/>
      </c>
      <c r="Q353" t="str">
        <f t="shared" si="10"/>
        <v>Saturday</v>
      </c>
      <c r="R353" t="str">
        <f t="shared" si="11"/>
        <v>Weekday</v>
      </c>
    </row>
    <row r="354" spans="1:18" x14ac:dyDescent="0.35">
      <c r="A354">
        <v>6962181067</v>
      </c>
      <c r="B354" s="1">
        <v>42459</v>
      </c>
      <c r="C354">
        <v>15491</v>
      </c>
      <c r="D354">
        <v>10.2399997711182</v>
      </c>
      <c r="E354">
        <v>10.2399997711182</v>
      </c>
      <c r="F354">
        <v>0</v>
      </c>
      <c r="G354">
        <v>1.28999996185303</v>
      </c>
      <c r="H354">
        <v>4.4899997711181596</v>
      </c>
      <c r="I354">
        <v>4.46000003814697</v>
      </c>
      <c r="J354">
        <v>0</v>
      </c>
      <c r="K354">
        <v>18</v>
      </c>
      <c r="L354">
        <v>77</v>
      </c>
      <c r="M354">
        <v>272</v>
      </c>
      <c r="N354">
        <v>641</v>
      </c>
      <c r="O354">
        <v>2244</v>
      </c>
      <c r="P354" s="3" cm="1">
        <f t="array" ref="P354">_xlfn.XLOOKUP(A354&amp;B354,'[1]Daily Sleep'!$A$2:$A$468&amp;'[1]Daily Sleep'!$B$2:$B$468,'[1]Daily Sleep'!$D$2:$D$468,"")</f>
        <v>6.9666666666666668</v>
      </c>
      <c r="Q354" t="str">
        <f t="shared" si="10"/>
        <v>Wednesday</v>
      </c>
      <c r="R354" t="str">
        <f t="shared" si="11"/>
        <v>Weekday</v>
      </c>
    </row>
    <row r="355" spans="1:18" x14ac:dyDescent="0.35">
      <c r="A355">
        <v>6962181067</v>
      </c>
      <c r="B355" s="1">
        <v>42460</v>
      </c>
      <c r="C355">
        <v>14097</v>
      </c>
      <c r="D355">
        <v>9.3199996948242205</v>
      </c>
      <c r="E355">
        <v>9.3199996948242205</v>
      </c>
      <c r="F355">
        <v>0</v>
      </c>
      <c r="G355">
        <v>3.5</v>
      </c>
      <c r="H355">
        <v>1.91999995708466</v>
      </c>
      <c r="I355">
        <v>3.9000000953674299</v>
      </c>
      <c r="J355">
        <v>0</v>
      </c>
      <c r="K355">
        <v>50</v>
      </c>
      <c r="L355">
        <v>32</v>
      </c>
      <c r="M355">
        <v>234</v>
      </c>
      <c r="N355">
        <v>595</v>
      </c>
      <c r="O355">
        <v>2188</v>
      </c>
      <c r="P355" s="3" cm="1">
        <f t="array" ref="P355">_xlfn.XLOOKUP(A355&amp;B355,'[1]Daily Sleep'!$A$2:$A$468&amp;'[1]Daily Sleep'!$B$2:$B$468,'[1]Daily Sleep'!$D$2:$D$468,"")</f>
        <v>8.4833333333333325</v>
      </c>
      <c r="Q355" t="str">
        <f t="shared" si="10"/>
        <v>Thursday</v>
      </c>
      <c r="R355" t="str">
        <f t="shared" si="11"/>
        <v>Weekend</v>
      </c>
    </row>
    <row r="356" spans="1:18" x14ac:dyDescent="0.35">
      <c r="A356">
        <v>6962181067</v>
      </c>
      <c r="B356" s="1">
        <v>42461</v>
      </c>
      <c r="C356">
        <v>10467</v>
      </c>
      <c r="D356">
        <v>6.9800000190734899</v>
      </c>
      <c r="E356">
        <v>6.9800000190734899</v>
      </c>
      <c r="F356">
        <v>0</v>
      </c>
      <c r="G356">
        <v>0.69999998807907104</v>
      </c>
      <c r="H356">
        <v>2.4300000667571999</v>
      </c>
      <c r="I356">
        <v>3.8499999046325701</v>
      </c>
      <c r="J356">
        <v>0</v>
      </c>
      <c r="K356">
        <v>9</v>
      </c>
      <c r="L356">
        <v>45</v>
      </c>
      <c r="M356">
        <v>252</v>
      </c>
      <c r="N356">
        <v>602</v>
      </c>
      <c r="O356">
        <v>2014</v>
      </c>
      <c r="P356" s="3" cm="1">
        <f t="array" ref="P356">_xlfn.XLOOKUP(A356&amp;B356,'[1]Daily Sleep'!$A$2:$A$468&amp;'[1]Daily Sleep'!$B$2:$B$468,'[1]Daily Sleep'!$D$2:$D$468,"")</f>
        <v>8.7833333333333332</v>
      </c>
      <c r="Q356" t="str">
        <f t="shared" si="10"/>
        <v>Friday</v>
      </c>
      <c r="R356" t="str">
        <f t="shared" si="11"/>
        <v>Weekend</v>
      </c>
    </row>
    <row r="357" spans="1:18" x14ac:dyDescent="0.35">
      <c r="A357">
        <v>6962181067</v>
      </c>
      <c r="B357" s="1">
        <v>42462</v>
      </c>
      <c r="C357">
        <v>12437</v>
      </c>
      <c r="D357">
        <v>8.3000001907348597</v>
      </c>
      <c r="E357">
        <v>8.3000001907348597</v>
      </c>
      <c r="F357">
        <v>0</v>
      </c>
      <c r="G357">
        <v>3.7599999904632599</v>
      </c>
      <c r="H357">
        <v>1.28999996185303</v>
      </c>
      <c r="I357">
        <v>3.2400000095367401</v>
      </c>
      <c r="J357">
        <v>0</v>
      </c>
      <c r="K357">
        <v>50</v>
      </c>
      <c r="L357">
        <v>24</v>
      </c>
      <c r="M357">
        <v>219</v>
      </c>
      <c r="N357">
        <v>732</v>
      </c>
      <c r="O357">
        <v>2115</v>
      </c>
      <c r="P357" s="3" cm="1">
        <f t="array" ref="P357">_xlfn.XLOOKUP(A357&amp;B357,'[1]Daily Sleep'!$A$2:$A$468&amp;'[1]Daily Sleep'!$B$2:$B$468,'[1]Daily Sleep'!$D$2:$D$468,"")</f>
        <v>6.65</v>
      </c>
      <c r="Q357" t="str">
        <f t="shared" si="10"/>
        <v>Saturday</v>
      </c>
      <c r="R357" t="str">
        <f t="shared" si="11"/>
        <v>Weekday</v>
      </c>
    </row>
    <row r="358" spans="1:18" x14ac:dyDescent="0.35">
      <c r="A358">
        <v>6962181067</v>
      </c>
      <c r="B358" s="1">
        <v>42463</v>
      </c>
      <c r="C358">
        <v>12307</v>
      </c>
      <c r="D358">
        <v>8.1400003433227504</v>
      </c>
      <c r="E358">
        <v>8.1400003433227504</v>
      </c>
      <c r="F358">
        <v>0</v>
      </c>
      <c r="G358">
        <v>1.0099999904632599</v>
      </c>
      <c r="H358">
        <v>3.2599999904632599</v>
      </c>
      <c r="I358">
        <v>3.8699998855590798</v>
      </c>
      <c r="J358">
        <v>0</v>
      </c>
      <c r="K358">
        <v>14</v>
      </c>
      <c r="L358">
        <v>51</v>
      </c>
      <c r="M358">
        <v>218</v>
      </c>
      <c r="N358">
        <v>589</v>
      </c>
      <c r="O358">
        <v>2055</v>
      </c>
      <c r="P358" s="3" cm="1">
        <f t="array" ref="P358">_xlfn.XLOOKUP(A358&amp;B358,'[1]Daily Sleep'!$A$2:$A$468&amp;'[1]Daily Sleep'!$B$2:$B$468,'[1]Daily Sleep'!$D$2:$D$468,"")</f>
        <v>8.9499999999999993</v>
      </c>
      <c r="Q358" t="str">
        <f t="shared" si="10"/>
        <v>Sunday</v>
      </c>
      <c r="R358" t="str">
        <f t="shared" si="11"/>
        <v>Weekday</v>
      </c>
    </row>
    <row r="359" spans="1:18" x14ac:dyDescent="0.35">
      <c r="A359">
        <v>6962181067</v>
      </c>
      <c r="B359" s="1">
        <v>42464</v>
      </c>
      <c r="C359">
        <v>18952</v>
      </c>
      <c r="D359">
        <v>12.800000190734901</v>
      </c>
      <c r="E359">
        <v>12.800000190734901</v>
      </c>
      <c r="F359">
        <v>0</v>
      </c>
      <c r="G359">
        <v>5.9099998474121103</v>
      </c>
      <c r="H359">
        <v>1.2300000190734901</v>
      </c>
      <c r="I359">
        <v>5.6599998474121103</v>
      </c>
      <c r="J359">
        <v>0</v>
      </c>
      <c r="K359">
        <v>73</v>
      </c>
      <c r="L359">
        <v>20</v>
      </c>
      <c r="M359">
        <v>327</v>
      </c>
      <c r="N359">
        <v>570</v>
      </c>
      <c r="O359">
        <v>2437</v>
      </c>
      <c r="P359" s="3" cm="1">
        <f t="array" ref="P359">_xlfn.XLOOKUP(A359&amp;B359,'[1]Daily Sleep'!$A$2:$A$468&amp;'[1]Daily Sleep'!$B$2:$B$468,'[1]Daily Sleep'!$D$2:$D$468,"")</f>
        <v>6.05</v>
      </c>
      <c r="Q359" t="str">
        <f t="shared" si="10"/>
        <v>Monday</v>
      </c>
      <c r="R359" t="str">
        <f t="shared" si="11"/>
        <v>Weekday</v>
      </c>
    </row>
    <row r="360" spans="1:18" x14ac:dyDescent="0.35">
      <c r="A360">
        <v>6962181067</v>
      </c>
      <c r="B360" s="1">
        <v>42465</v>
      </c>
      <c r="C360">
        <v>12010</v>
      </c>
      <c r="D360">
        <v>7.9400000572204599</v>
      </c>
      <c r="E360">
        <v>7.9400000572204599</v>
      </c>
      <c r="F360">
        <v>0</v>
      </c>
      <c r="G360">
        <v>2.3800001144409202</v>
      </c>
      <c r="H360">
        <v>0.94999998807907104</v>
      </c>
      <c r="I360">
        <v>4.6100001335143999</v>
      </c>
      <c r="J360">
        <v>0</v>
      </c>
      <c r="K360">
        <v>38</v>
      </c>
      <c r="L360">
        <v>17</v>
      </c>
      <c r="M360">
        <v>287</v>
      </c>
      <c r="N360">
        <v>692</v>
      </c>
      <c r="O360">
        <v>2158</v>
      </c>
      <c r="P360" s="3" cm="1">
        <f t="array" ref="P360">_xlfn.XLOOKUP(A360&amp;B360,'[1]Daily Sleep'!$A$2:$A$468&amp;'[1]Daily Sleep'!$B$2:$B$468,'[1]Daily Sleep'!$D$2:$D$468,"")</f>
        <v>5.9666666666666668</v>
      </c>
      <c r="Q360" t="str">
        <f t="shared" si="10"/>
        <v>Tuesday</v>
      </c>
      <c r="R360" t="str">
        <f t="shared" si="11"/>
        <v>Weekday</v>
      </c>
    </row>
    <row r="361" spans="1:18" x14ac:dyDescent="0.35">
      <c r="A361">
        <v>6962181067</v>
      </c>
      <c r="B361" s="1">
        <v>42466</v>
      </c>
      <c r="C361">
        <v>12480</v>
      </c>
      <c r="D361">
        <v>8.8599996566772496</v>
      </c>
      <c r="E361">
        <v>8.25</v>
      </c>
      <c r="F361">
        <v>3.9727950096130402</v>
      </c>
      <c r="G361">
        <v>4.1799998283386204</v>
      </c>
      <c r="H361">
        <v>0.68999999761581399</v>
      </c>
      <c r="I361">
        <v>4</v>
      </c>
      <c r="J361">
        <v>0</v>
      </c>
      <c r="K361">
        <v>55</v>
      </c>
      <c r="L361">
        <v>14</v>
      </c>
      <c r="M361">
        <v>276</v>
      </c>
      <c r="N361">
        <v>593</v>
      </c>
      <c r="O361">
        <v>2170</v>
      </c>
      <c r="P361" s="3" cm="1">
        <f t="array" ref="P361">_xlfn.XLOOKUP(A361&amp;B361,'[1]Daily Sleep'!$A$2:$A$468&amp;'[1]Daily Sleep'!$B$2:$B$468,'[1]Daily Sleep'!$D$2:$D$468,"")</f>
        <v>7.9</v>
      </c>
      <c r="Q361" t="str">
        <f t="shared" si="10"/>
        <v>Wednesday</v>
      </c>
      <c r="R361" t="str">
        <f t="shared" si="11"/>
        <v>Weekday</v>
      </c>
    </row>
    <row r="362" spans="1:18" x14ac:dyDescent="0.35">
      <c r="A362">
        <v>6962181067</v>
      </c>
      <c r="B362" s="1">
        <v>42467</v>
      </c>
      <c r="C362">
        <v>13417</v>
      </c>
      <c r="D362">
        <v>9.6499996185302699</v>
      </c>
      <c r="E362">
        <v>8.8699998855590803</v>
      </c>
      <c r="F362">
        <v>1.92630195617676</v>
      </c>
      <c r="G362">
        <v>3.3900001049041699</v>
      </c>
      <c r="H362">
        <v>1.25</v>
      </c>
      <c r="I362">
        <v>4.9099998474121103</v>
      </c>
      <c r="J362">
        <v>0.10000000149011599</v>
      </c>
      <c r="K362">
        <v>45</v>
      </c>
      <c r="L362">
        <v>16</v>
      </c>
      <c r="M362">
        <v>284</v>
      </c>
      <c r="N362">
        <v>665</v>
      </c>
      <c r="O362">
        <v>2244</v>
      </c>
      <c r="P362" s="3" cm="1">
        <f t="array" ref="P362">_xlfn.XLOOKUP(A362&amp;B362,'[1]Daily Sleep'!$A$2:$A$468&amp;'[1]Daily Sleep'!$B$2:$B$468,'[1]Daily Sleep'!$D$2:$D$468,"")</f>
        <v>7.05</v>
      </c>
      <c r="Q362" t="str">
        <f t="shared" si="10"/>
        <v>Thursday</v>
      </c>
      <c r="R362" t="str">
        <f t="shared" si="11"/>
        <v>Weekend</v>
      </c>
    </row>
    <row r="363" spans="1:18" x14ac:dyDescent="0.35">
      <c r="A363">
        <v>6962181067</v>
      </c>
      <c r="B363" s="1">
        <v>42468</v>
      </c>
      <c r="C363">
        <v>14400</v>
      </c>
      <c r="D363">
        <v>10.8800001144409</v>
      </c>
      <c r="E363">
        <v>9.5200004577636701</v>
      </c>
      <c r="F363">
        <v>5.4568638801574698</v>
      </c>
      <c r="G363">
        <v>2.4700000286102299</v>
      </c>
      <c r="H363">
        <v>2.8800001144409202</v>
      </c>
      <c r="I363">
        <v>5.5300002098083496</v>
      </c>
      <c r="J363">
        <v>0</v>
      </c>
      <c r="K363">
        <v>27</v>
      </c>
      <c r="L363">
        <v>37</v>
      </c>
      <c r="M363">
        <v>276</v>
      </c>
      <c r="N363">
        <v>697</v>
      </c>
      <c r="O363">
        <v>2188</v>
      </c>
      <c r="P363" s="3" cm="1">
        <f t="array" ref="P363">_xlfn.XLOOKUP(A363&amp;B363,'[1]Daily Sleep'!$A$2:$A$468&amp;'[1]Daily Sleep'!$B$2:$B$468,'[1]Daily Sleep'!$D$2:$D$468,"")</f>
        <v>6.7</v>
      </c>
      <c r="Q363" t="str">
        <f t="shared" si="10"/>
        <v>Friday</v>
      </c>
      <c r="R363" t="str">
        <f t="shared" si="11"/>
        <v>Weekend</v>
      </c>
    </row>
    <row r="364" spans="1:18" x14ac:dyDescent="0.35">
      <c r="A364">
        <v>6962181067</v>
      </c>
      <c r="B364" s="1">
        <v>42469</v>
      </c>
      <c r="C364">
        <v>12495</v>
      </c>
      <c r="D364">
        <v>8.2600002288818395</v>
      </c>
      <c r="E364">
        <v>8.2600002288818395</v>
      </c>
      <c r="F364">
        <v>0</v>
      </c>
      <c r="G364">
        <v>2.21000003814697</v>
      </c>
      <c r="H364">
        <v>1.0900000333786</v>
      </c>
      <c r="I364">
        <v>4.96000003814697</v>
      </c>
      <c r="J364">
        <v>0</v>
      </c>
      <c r="K364">
        <v>33</v>
      </c>
      <c r="L364">
        <v>19</v>
      </c>
      <c r="M364">
        <v>324</v>
      </c>
      <c r="N364">
        <v>609</v>
      </c>
      <c r="O364">
        <v>2231</v>
      </c>
      <c r="P364" s="3" cm="1">
        <f t="array" ref="P364">_xlfn.XLOOKUP(A364&amp;B364,'[1]Daily Sleep'!$A$2:$A$468&amp;'[1]Daily Sleep'!$B$2:$B$468,'[1]Daily Sleep'!$D$2:$D$468,"")</f>
        <v>7.2333333333333334</v>
      </c>
      <c r="Q364" t="str">
        <f t="shared" si="10"/>
        <v>Saturday</v>
      </c>
      <c r="R364" t="str">
        <f t="shared" si="11"/>
        <v>Weekday</v>
      </c>
    </row>
    <row r="365" spans="1:18" x14ac:dyDescent="0.35">
      <c r="A365">
        <v>6962181067</v>
      </c>
      <c r="B365" s="1">
        <v>42470</v>
      </c>
      <c r="C365">
        <v>10148</v>
      </c>
      <c r="D365">
        <v>6.71000003814697</v>
      </c>
      <c r="E365">
        <v>6.71000003814697</v>
      </c>
      <c r="F365">
        <v>0</v>
      </c>
      <c r="G365">
        <v>1.3600000143051101</v>
      </c>
      <c r="H365">
        <v>0.21999999880790699</v>
      </c>
      <c r="I365">
        <v>5.1300001144409197</v>
      </c>
      <c r="J365">
        <v>0</v>
      </c>
      <c r="K365">
        <v>19</v>
      </c>
      <c r="L365">
        <v>7</v>
      </c>
      <c r="M365">
        <v>306</v>
      </c>
      <c r="N365">
        <v>679</v>
      </c>
      <c r="O365">
        <v>2100</v>
      </c>
      <c r="P365" s="3" cm="1">
        <f t="array" ref="P365">_xlfn.XLOOKUP(A365&amp;B365,'[1]Daily Sleep'!$A$2:$A$468&amp;'[1]Daily Sleep'!$B$2:$B$468,'[1]Daily Sleep'!$D$2:$D$468,"")</f>
        <v>6.9</v>
      </c>
      <c r="Q365" t="str">
        <f t="shared" si="10"/>
        <v>Sunday</v>
      </c>
      <c r="R365" t="str">
        <f t="shared" si="11"/>
        <v>Weekday</v>
      </c>
    </row>
    <row r="366" spans="1:18" x14ac:dyDescent="0.35">
      <c r="A366">
        <v>6962181067</v>
      </c>
      <c r="B366" s="1">
        <v>42471</v>
      </c>
      <c r="C366">
        <v>12362</v>
      </c>
      <c r="D366">
        <v>9.0900001525878906</v>
      </c>
      <c r="E366">
        <v>8.1700000762939506</v>
      </c>
      <c r="F366">
        <v>2.6964550018310498</v>
      </c>
      <c r="G366">
        <v>1.0900000333786</v>
      </c>
      <c r="H366">
        <v>2.7300000190734899</v>
      </c>
      <c r="I366">
        <v>5.2699999809265101</v>
      </c>
      <c r="J366">
        <v>0</v>
      </c>
      <c r="K366">
        <v>21</v>
      </c>
      <c r="L366">
        <v>38</v>
      </c>
      <c r="M366">
        <v>297</v>
      </c>
      <c r="N366">
        <v>678</v>
      </c>
      <c r="O366">
        <v>2188</v>
      </c>
      <c r="P366" s="3" cm="1">
        <f t="array" ref="P366">_xlfn.XLOOKUP(A366&amp;B366,'[1]Daily Sleep'!$A$2:$A$468&amp;'[1]Daily Sleep'!$B$2:$B$468,'[1]Daily Sleep'!$D$2:$D$468,"")</f>
        <v>6.55</v>
      </c>
      <c r="Q366" t="str">
        <f t="shared" si="10"/>
        <v>Monday</v>
      </c>
      <c r="R366" t="str">
        <f t="shared" si="11"/>
        <v>Weekday</v>
      </c>
    </row>
    <row r="367" spans="1:18" x14ac:dyDescent="0.35">
      <c r="A367">
        <v>6962181067</v>
      </c>
      <c r="B367" s="1">
        <v>42472</v>
      </c>
      <c r="C367">
        <v>5893</v>
      </c>
      <c r="D367">
        <v>3.9000000953674299</v>
      </c>
      <c r="E367">
        <v>3.9000000953674299</v>
      </c>
      <c r="F367">
        <v>0</v>
      </c>
      <c r="G367">
        <v>2.8800001144409202</v>
      </c>
      <c r="H367">
        <v>0.56000000238418601</v>
      </c>
      <c r="I367">
        <v>0.46000000834464999</v>
      </c>
      <c r="J367">
        <v>0</v>
      </c>
      <c r="K367">
        <v>43</v>
      </c>
      <c r="L367">
        <v>9</v>
      </c>
      <c r="M367">
        <v>48</v>
      </c>
      <c r="N367">
        <v>146</v>
      </c>
      <c r="O367">
        <v>917</v>
      </c>
      <c r="P367" s="3" cm="1">
        <f t="array" ref="P367">_xlfn.XLOOKUP(A367&amp;B367,'[1]Daily Sleep'!$A$2:$A$468&amp;'[1]Daily Sleep'!$B$2:$B$468,'[1]Daily Sleep'!$D$2:$D$468,"")</f>
        <v>6.1</v>
      </c>
      <c r="Q367" t="str">
        <f t="shared" si="10"/>
        <v>Tuesday</v>
      </c>
      <c r="R367" t="str">
        <f t="shared" si="11"/>
        <v>Weekend</v>
      </c>
    </row>
    <row r="368" spans="1:18" x14ac:dyDescent="0.35">
      <c r="A368">
        <v>7007744171</v>
      </c>
      <c r="B368" s="1">
        <v>42461</v>
      </c>
      <c r="C368">
        <v>11680</v>
      </c>
      <c r="D368">
        <v>9.0600004196166992</v>
      </c>
      <c r="E368">
        <v>7.8099999427795401</v>
      </c>
      <c r="F368">
        <v>4.9012827873229998</v>
      </c>
      <c r="G368">
        <v>4.4899997711181596</v>
      </c>
      <c r="H368">
        <v>0.33000001311302202</v>
      </c>
      <c r="I368">
        <v>4.2399997711181596</v>
      </c>
      <c r="J368">
        <v>0</v>
      </c>
      <c r="K368">
        <v>50</v>
      </c>
      <c r="L368">
        <v>7</v>
      </c>
      <c r="M368">
        <v>244</v>
      </c>
      <c r="N368">
        <v>1139</v>
      </c>
      <c r="O368">
        <v>2573</v>
      </c>
      <c r="P368" s="3" t="str" cm="1">
        <f t="array" ref="P368">_xlfn.XLOOKUP(A368&amp;B368,'[1]Daily Sleep'!$A$2:$A$468&amp;'[1]Daily Sleep'!$B$2:$B$468,'[1]Daily Sleep'!$D$2:$D$468,"")</f>
        <v/>
      </c>
      <c r="Q368" t="str">
        <f t="shared" si="10"/>
        <v>Friday</v>
      </c>
      <c r="R368" t="str">
        <f t="shared" si="11"/>
        <v>Weekend</v>
      </c>
    </row>
    <row r="369" spans="1:18" x14ac:dyDescent="0.35">
      <c r="A369">
        <v>7007744171</v>
      </c>
      <c r="B369" s="1">
        <v>42462</v>
      </c>
      <c r="C369">
        <v>10976</v>
      </c>
      <c r="D369">
        <v>7.3400001525878897</v>
      </c>
      <c r="E369">
        <v>7.3400001525878897</v>
      </c>
      <c r="F369">
        <v>0</v>
      </c>
      <c r="G369">
        <v>0.55000001192092896</v>
      </c>
      <c r="H369">
        <v>0.67000001668930098</v>
      </c>
      <c r="I369">
        <v>6.1300001144409197</v>
      </c>
      <c r="J369">
        <v>0</v>
      </c>
      <c r="K369">
        <v>9</v>
      </c>
      <c r="L369">
        <v>16</v>
      </c>
      <c r="M369">
        <v>271</v>
      </c>
      <c r="N369">
        <v>1075</v>
      </c>
      <c r="O369">
        <v>2575</v>
      </c>
      <c r="P369" s="3" cm="1">
        <f t="array" ref="P369">_xlfn.XLOOKUP(A369&amp;B369,'[1]Daily Sleep'!$A$2:$A$468&amp;'[1]Daily Sleep'!$B$2:$B$468,'[1]Daily Sleep'!$D$2:$D$468,"")</f>
        <v>0.93333333333333335</v>
      </c>
      <c r="Q369" t="str">
        <f t="shared" si="10"/>
        <v>Saturday</v>
      </c>
      <c r="R369" t="str">
        <f t="shared" si="11"/>
        <v>Weekday</v>
      </c>
    </row>
    <row r="370" spans="1:18" x14ac:dyDescent="0.35">
      <c r="A370">
        <v>7007744171</v>
      </c>
      <c r="B370" s="1">
        <v>42463</v>
      </c>
      <c r="C370">
        <v>16806</v>
      </c>
      <c r="D370">
        <v>11.2399997711182</v>
      </c>
      <c r="E370">
        <v>11.2399997711182</v>
      </c>
      <c r="F370">
        <v>0</v>
      </c>
      <c r="G370">
        <v>6.4099998474121103</v>
      </c>
      <c r="H370">
        <v>1.37000000476837</v>
      </c>
      <c r="I370">
        <v>3.4700000286102299</v>
      </c>
      <c r="J370">
        <v>0</v>
      </c>
      <c r="K370">
        <v>104</v>
      </c>
      <c r="L370">
        <v>31</v>
      </c>
      <c r="M370">
        <v>230</v>
      </c>
      <c r="N370">
        <v>1002</v>
      </c>
      <c r="O370">
        <v>3086</v>
      </c>
      <c r="P370" s="3" cm="1">
        <f t="array" ref="P370">_xlfn.XLOOKUP(A370&amp;B370,'[1]Daily Sleep'!$A$2:$A$468&amp;'[1]Daily Sleep'!$B$2:$B$468,'[1]Daily Sleep'!$D$2:$D$468,"")</f>
        <v>1.1666666666666667</v>
      </c>
      <c r="Q370" t="str">
        <f t="shared" si="10"/>
        <v>Sunday</v>
      </c>
      <c r="R370" t="str">
        <f t="shared" si="11"/>
        <v>Weekday</v>
      </c>
    </row>
    <row r="371" spans="1:18" x14ac:dyDescent="0.35">
      <c r="A371">
        <v>7007744171</v>
      </c>
      <c r="B371" s="1">
        <v>42464</v>
      </c>
      <c r="C371">
        <v>15266</v>
      </c>
      <c r="D371">
        <v>11.3999996185303</v>
      </c>
      <c r="E371">
        <v>10.210000038146999</v>
      </c>
      <c r="F371">
        <v>5.1898498535156303</v>
      </c>
      <c r="G371">
        <v>5.8000001907348597</v>
      </c>
      <c r="H371">
        <v>0.75999999046325695</v>
      </c>
      <c r="I371">
        <v>4.78999996185303</v>
      </c>
      <c r="J371">
        <v>5.0000000745058101E-2</v>
      </c>
      <c r="K371">
        <v>70</v>
      </c>
      <c r="L371">
        <v>21</v>
      </c>
      <c r="M371">
        <v>292</v>
      </c>
      <c r="N371">
        <v>1057</v>
      </c>
      <c r="O371">
        <v>2886</v>
      </c>
      <c r="P371" s="3" t="str" cm="1">
        <f t="array" ref="P371">_xlfn.XLOOKUP(A371&amp;B371,'[1]Daily Sleep'!$A$2:$A$468&amp;'[1]Daily Sleep'!$B$2:$B$468,'[1]Daily Sleep'!$D$2:$D$468,"")</f>
        <v/>
      </c>
      <c r="Q371" t="str">
        <f t="shared" si="10"/>
        <v>Monday</v>
      </c>
      <c r="R371" t="str">
        <f t="shared" si="11"/>
        <v>Weekday</v>
      </c>
    </row>
    <row r="372" spans="1:18" x14ac:dyDescent="0.35">
      <c r="A372">
        <v>7007744171</v>
      </c>
      <c r="B372" s="1">
        <v>42465</v>
      </c>
      <c r="C372">
        <v>12084</v>
      </c>
      <c r="D372">
        <v>9.1400003433227504</v>
      </c>
      <c r="E372">
        <v>8.0799999237060494</v>
      </c>
      <c r="F372">
        <v>4.8363800048828098</v>
      </c>
      <c r="G372">
        <v>4.3899998664856001</v>
      </c>
      <c r="H372">
        <v>0.46000000834464999</v>
      </c>
      <c r="I372">
        <v>4.28999996185303</v>
      </c>
      <c r="J372">
        <v>0</v>
      </c>
      <c r="K372">
        <v>50</v>
      </c>
      <c r="L372">
        <v>6</v>
      </c>
      <c r="M372">
        <v>284</v>
      </c>
      <c r="N372">
        <v>1030</v>
      </c>
      <c r="O372">
        <v>2676</v>
      </c>
      <c r="P372" s="3" cm="1">
        <f t="array" ref="P372">_xlfn.XLOOKUP(A372&amp;B372,'[1]Daily Sleep'!$A$2:$A$468&amp;'[1]Daily Sleep'!$B$2:$B$468,'[1]Daily Sleep'!$D$2:$D$468,"")</f>
        <v>1.1000000000000001</v>
      </c>
      <c r="Q372" t="str">
        <f t="shared" si="10"/>
        <v>Tuesday</v>
      </c>
      <c r="R372" t="str">
        <f t="shared" si="11"/>
        <v>Weekday</v>
      </c>
    </row>
    <row r="373" spans="1:18" x14ac:dyDescent="0.35">
      <c r="A373">
        <v>7007744171</v>
      </c>
      <c r="B373" s="1">
        <v>42466</v>
      </c>
      <c r="C373">
        <v>13513</v>
      </c>
      <c r="D373">
        <v>10.25</v>
      </c>
      <c r="E373">
        <v>9.0699996948242205</v>
      </c>
      <c r="F373">
        <v>4.8357200622558603</v>
      </c>
      <c r="G373">
        <v>5.3499999046325701</v>
      </c>
      <c r="H373">
        <v>0.33000001311302202</v>
      </c>
      <c r="I373">
        <v>4.5599999427795401</v>
      </c>
      <c r="J373">
        <v>0</v>
      </c>
      <c r="K373">
        <v>64</v>
      </c>
      <c r="L373">
        <v>8</v>
      </c>
      <c r="M373">
        <v>270</v>
      </c>
      <c r="N373">
        <v>1098</v>
      </c>
      <c r="O373">
        <v>2811</v>
      </c>
      <c r="P373" s="3" t="str" cm="1">
        <f t="array" ref="P373">_xlfn.XLOOKUP(A373&amp;B373,'[1]Daily Sleep'!$A$2:$A$468&amp;'[1]Daily Sleep'!$B$2:$B$468,'[1]Daily Sleep'!$D$2:$D$468,"")</f>
        <v/>
      </c>
      <c r="Q373" t="str">
        <f t="shared" si="10"/>
        <v>Wednesday</v>
      </c>
      <c r="R373" t="str">
        <f t="shared" si="11"/>
        <v>Weekday</v>
      </c>
    </row>
    <row r="374" spans="1:18" x14ac:dyDescent="0.35">
      <c r="A374">
        <v>7007744171</v>
      </c>
      <c r="B374" s="1">
        <v>42467</v>
      </c>
      <c r="C374">
        <v>14100</v>
      </c>
      <c r="D374">
        <v>10.579999923706101</v>
      </c>
      <c r="E374">
        <v>9.4300003051757795</v>
      </c>
      <c r="F374">
        <v>4.8759899139404297</v>
      </c>
      <c r="G374">
        <v>5.0999999046325701</v>
      </c>
      <c r="H374">
        <v>1.1900000572204601</v>
      </c>
      <c r="I374">
        <v>4.2800002098083496</v>
      </c>
      <c r="J374">
        <v>0</v>
      </c>
      <c r="K374">
        <v>61</v>
      </c>
      <c r="L374">
        <v>33</v>
      </c>
      <c r="M374">
        <v>265</v>
      </c>
      <c r="N374">
        <v>1015</v>
      </c>
      <c r="O374">
        <v>2840</v>
      </c>
      <c r="P374" s="3" cm="1">
        <f t="array" ref="P374">_xlfn.XLOOKUP(A374&amp;B374,'[1]Daily Sleep'!$A$2:$A$468&amp;'[1]Daily Sleep'!$B$2:$B$468,'[1]Daily Sleep'!$D$2:$D$468,"")</f>
        <v>1.05</v>
      </c>
      <c r="Q374" t="str">
        <f t="shared" si="10"/>
        <v>Thursday</v>
      </c>
      <c r="R374" t="str">
        <f t="shared" si="11"/>
        <v>Weekend</v>
      </c>
    </row>
    <row r="375" spans="1:18" x14ac:dyDescent="0.35">
      <c r="A375">
        <v>7007744171</v>
      </c>
      <c r="B375" s="1">
        <v>42468</v>
      </c>
      <c r="C375">
        <v>12627</v>
      </c>
      <c r="D375">
        <v>9.6499996185302699</v>
      </c>
      <c r="E375">
        <v>8.4499998092651403</v>
      </c>
      <c r="F375">
        <v>4.8423199653625497</v>
      </c>
      <c r="G375">
        <v>4.6999998092651403</v>
      </c>
      <c r="H375">
        <v>0.74000000953674305</v>
      </c>
      <c r="I375">
        <v>4.21000003814697</v>
      </c>
      <c r="J375">
        <v>0</v>
      </c>
      <c r="K375">
        <v>54</v>
      </c>
      <c r="L375">
        <v>22</v>
      </c>
      <c r="M375">
        <v>301</v>
      </c>
      <c r="N375">
        <v>1063</v>
      </c>
      <c r="O375">
        <v>2871</v>
      </c>
      <c r="P375" s="3" t="str" cm="1">
        <f t="array" ref="P375">_xlfn.XLOOKUP(A375&amp;B375,'[1]Daily Sleep'!$A$2:$A$468&amp;'[1]Daily Sleep'!$B$2:$B$468,'[1]Daily Sleep'!$D$2:$D$468,"")</f>
        <v/>
      </c>
      <c r="Q375" t="str">
        <f t="shared" si="10"/>
        <v>Friday</v>
      </c>
      <c r="R375" t="str">
        <f t="shared" si="11"/>
        <v>Weekend</v>
      </c>
    </row>
    <row r="376" spans="1:18" x14ac:dyDescent="0.35">
      <c r="A376">
        <v>7007744171</v>
      </c>
      <c r="B376" s="1">
        <v>42469</v>
      </c>
      <c r="C376">
        <v>10345</v>
      </c>
      <c r="D376">
        <v>6.9200000762939498</v>
      </c>
      <c r="E376">
        <v>6.9200000762939498</v>
      </c>
      <c r="F376">
        <v>0</v>
      </c>
      <c r="G376">
        <v>7.0000000298023196E-2</v>
      </c>
      <c r="H376">
        <v>0.270000010728836</v>
      </c>
      <c r="I376">
        <v>6.5799999237060502</v>
      </c>
      <c r="J376">
        <v>0</v>
      </c>
      <c r="K376">
        <v>2</v>
      </c>
      <c r="L376">
        <v>6</v>
      </c>
      <c r="M376">
        <v>358</v>
      </c>
      <c r="N376">
        <v>1074</v>
      </c>
      <c r="O376">
        <v>2613</v>
      </c>
      <c r="P376" s="3" t="str" cm="1">
        <f t="array" ref="P376">_xlfn.XLOOKUP(A376&amp;B376,'[1]Daily Sleep'!$A$2:$A$468&amp;'[1]Daily Sleep'!$B$2:$B$468,'[1]Daily Sleep'!$D$2:$D$468,"")</f>
        <v/>
      </c>
      <c r="Q376" t="str">
        <f t="shared" si="10"/>
        <v>Saturday</v>
      </c>
      <c r="R376" t="str">
        <f t="shared" si="11"/>
        <v>Weekday</v>
      </c>
    </row>
    <row r="377" spans="1:18" x14ac:dyDescent="0.35">
      <c r="A377">
        <v>7007744171</v>
      </c>
      <c r="B377" s="1">
        <v>42470</v>
      </c>
      <c r="C377">
        <v>10146</v>
      </c>
      <c r="D377">
        <v>6.78999996185303</v>
      </c>
      <c r="E377">
        <v>6.78999996185303</v>
      </c>
      <c r="F377">
        <v>0</v>
      </c>
      <c r="G377">
        <v>7.0000000298023196E-2</v>
      </c>
      <c r="H377">
        <v>0.61000001430511497</v>
      </c>
      <c r="I377">
        <v>6.1100001335143999</v>
      </c>
      <c r="J377">
        <v>0</v>
      </c>
      <c r="K377">
        <v>1</v>
      </c>
      <c r="L377">
        <v>12</v>
      </c>
      <c r="M377">
        <v>397</v>
      </c>
      <c r="N377">
        <v>1030</v>
      </c>
      <c r="O377">
        <v>2700</v>
      </c>
      <c r="P377" s="3" t="str" cm="1">
        <f t="array" ref="P377">_xlfn.XLOOKUP(A377&amp;B377,'[1]Daily Sleep'!$A$2:$A$468&amp;'[1]Daily Sleep'!$B$2:$B$468,'[1]Daily Sleep'!$D$2:$D$468,"")</f>
        <v/>
      </c>
      <c r="Q377" t="str">
        <f t="shared" si="10"/>
        <v>Sunday</v>
      </c>
      <c r="R377" t="str">
        <f t="shared" si="11"/>
        <v>Weekday</v>
      </c>
    </row>
    <row r="378" spans="1:18" x14ac:dyDescent="0.35">
      <c r="A378">
        <v>7007744171</v>
      </c>
      <c r="B378" s="1">
        <v>42471</v>
      </c>
      <c r="C378">
        <v>12168</v>
      </c>
      <c r="D378">
        <v>8.1400003433227504</v>
      </c>
      <c r="E378">
        <v>8.1400003433227504</v>
      </c>
      <c r="F378">
        <v>0</v>
      </c>
      <c r="G378">
        <v>1.04999995231628</v>
      </c>
      <c r="H378">
        <v>0.79000002145767201</v>
      </c>
      <c r="I378">
        <v>6.28999996185303</v>
      </c>
      <c r="J378">
        <v>0</v>
      </c>
      <c r="K378">
        <v>18</v>
      </c>
      <c r="L378">
        <v>27</v>
      </c>
      <c r="M378">
        <v>375</v>
      </c>
      <c r="N378">
        <v>1020</v>
      </c>
      <c r="O378">
        <v>2871</v>
      </c>
      <c r="P378" s="3" t="str" cm="1">
        <f t="array" ref="P378">_xlfn.XLOOKUP(A378&amp;B378,'[1]Daily Sleep'!$A$2:$A$468&amp;'[1]Daily Sleep'!$B$2:$B$468,'[1]Daily Sleep'!$D$2:$D$468,"")</f>
        <v/>
      </c>
      <c r="Q378" t="str">
        <f t="shared" si="10"/>
        <v>Monday</v>
      </c>
      <c r="R378" t="str">
        <f t="shared" si="11"/>
        <v>Weekday</v>
      </c>
    </row>
    <row r="379" spans="1:18" x14ac:dyDescent="0.35">
      <c r="A379">
        <v>7007744171</v>
      </c>
      <c r="B379" s="1">
        <v>42472</v>
      </c>
      <c r="C379">
        <v>7413</v>
      </c>
      <c r="D379">
        <v>5.7699999809265101</v>
      </c>
      <c r="E379">
        <v>4.96000003814697</v>
      </c>
      <c r="F379">
        <v>4.8697829246520996</v>
      </c>
      <c r="G379">
        <v>4.5</v>
      </c>
      <c r="H379">
        <v>0.34000000357627902</v>
      </c>
      <c r="I379">
        <v>0.93999999761581399</v>
      </c>
      <c r="J379">
        <v>0</v>
      </c>
      <c r="K379">
        <v>53</v>
      </c>
      <c r="L379">
        <v>6</v>
      </c>
      <c r="M379">
        <v>43</v>
      </c>
      <c r="N379">
        <v>405</v>
      </c>
      <c r="O379">
        <v>1023</v>
      </c>
      <c r="P379" s="3" t="str" cm="1">
        <f t="array" ref="P379">_xlfn.XLOOKUP(A379&amp;B379,'[1]Daily Sleep'!$A$2:$A$468&amp;'[1]Daily Sleep'!$B$2:$B$468,'[1]Daily Sleep'!$D$2:$D$468,"")</f>
        <v/>
      </c>
      <c r="Q379" t="str">
        <f t="shared" si="10"/>
        <v>Tuesday</v>
      </c>
      <c r="R379" t="str">
        <f t="shared" si="11"/>
        <v>Weekend</v>
      </c>
    </row>
    <row r="380" spans="1:18" x14ac:dyDescent="0.35">
      <c r="A380">
        <v>7086361926</v>
      </c>
      <c r="B380" s="1">
        <v>42461</v>
      </c>
      <c r="C380">
        <v>11463</v>
      </c>
      <c r="D380">
        <v>7.6700000762939498</v>
      </c>
      <c r="E380">
        <v>7.6700000762939498</v>
      </c>
      <c r="F380">
        <v>0</v>
      </c>
      <c r="G380">
        <v>2.8299999237060498</v>
      </c>
      <c r="H380">
        <v>1.8899999856948899</v>
      </c>
      <c r="I380">
        <v>2.9300000667571999</v>
      </c>
      <c r="J380">
        <v>0</v>
      </c>
      <c r="K380">
        <v>38</v>
      </c>
      <c r="L380">
        <v>30</v>
      </c>
      <c r="M380">
        <v>154</v>
      </c>
      <c r="N380">
        <v>777</v>
      </c>
      <c r="O380">
        <v>2496</v>
      </c>
      <c r="P380" s="3" cm="1">
        <f t="array" ref="P380">_xlfn.XLOOKUP(A380&amp;B380,'[1]Daily Sleep'!$A$2:$A$468&amp;'[1]Daily Sleep'!$B$2:$B$468,'[1]Daily Sleep'!$D$2:$D$468,"")</f>
        <v>6.833333333333333</v>
      </c>
      <c r="Q380" t="str">
        <f t="shared" si="10"/>
        <v>Friday</v>
      </c>
      <c r="R380" t="str">
        <f t="shared" si="11"/>
        <v>Weekend</v>
      </c>
    </row>
    <row r="381" spans="1:18" x14ac:dyDescent="0.35">
      <c r="A381">
        <v>7086361926</v>
      </c>
      <c r="B381" s="1">
        <v>42462</v>
      </c>
      <c r="C381">
        <v>87</v>
      </c>
      <c r="D381">
        <v>1.9999999552965199E-2</v>
      </c>
      <c r="E381">
        <v>1.9999999552965199E-2</v>
      </c>
      <c r="F381">
        <v>0</v>
      </c>
      <c r="G381">
        <v>0</v>
      </c>
      <c r="H381">
        <v>0</v>
      </c>
      <c r="I381">
        <v>9.9999997764825804E-3</v>
      </c>
      <c r="J381">
        <v>0</v>
      </c>
      <c r="K381">
        <v>0</v>
      </c>
      <c r="L381">
        <v>0</v>
      </c>
      <c r="M381">
        <v>2</v>
      </c>
      <c r="N381">
        <v>872</v>
      </c>
      <c r="O381">
        <v>1641</v>
      </c>
      <c r="P381" s="3" cm="1">
        <f t="array" ref="P381">_xlfn.XLOOKUP(A381&amp;B381,'[1]Daily Sleep'!$A$2:$A$468&amp;'[1]Daily Sleep'!$B$2:$B$468,'[1]Daily Sleep'!$D$2:$D$468,"")</f>
        <v>9.1999999999999993</v>
      </c>
      <c r="Q381" t="str">
        <f t="shared" si="10"/>
        <v>Saturday</v>
      </c>
      <c r="R381" t="str">
        <f t="shared" si="11"/>
        <v>Weekday</v>
      </c>
    </row>
    <row r="382" spans="1:18" x14ac:dyDescent="0.35">
      <c r="A382">
        <v>7086361926</v>
      </c>
      <c r="B382" s="1">
        <v>42463</v>
      </c>
      <c r="C382">
        <v>1949</v>
      </c>
      <c r="D382">
        <v>1.3099999427795399</v>
      </c>
      <c r="E382">
        <v>1.3099999427795399</v>
      </c>
      <c r="F382">
        <v>0</v>
      </c>
      <c r="G382">
        <v>0.230000004172325</v>
      </c>
      <c r="H382">
        <v>0.34999999403953602</v>
      </c>
      <c r="I382">
        <v>0.730000019073486</v>
      </c>
      <c r="J382">
        <v>0</v>
      </c>
      <c r="K382">
        <v>3</v>
      </c>
      <c r="L382">
        <v>6</v>
      </c>
      <c r="M382">
        <v>27</v>
      </c>
      <c r="N382">
        <v>1404</v>
      </c>
      <c r="O382">
        <v>1794</v>
      </c>
      <c r="P382" s="3" t="str" cm="1">
        <f t="array" ref="P382">_xlfn.XLOOKUP(A382&amp;B382,'[1]Daily Sleep'!$A$2:$A$468&amp;'[1]Daily Sleep'!$B$2:$B$468,'[1]Daily Sleep'!$D$2:$D$468,"")</f>
        <v/>
      </c>
      <c r="Q382" t="str">
        <f t="shared" si="10"/>
        <v>Sunday</v>
      </c>
      <c r="R382" t="str">
        <f t="shared" si="11"/>
        <v>Weekday</v>
      </c>
    </row>
    <row r="383" spans="1:18" x14ac:dyDescent="0.35">
      <c r="A383">
        <v>7086361926</v>
      </c>
      <c r="B383" s="1">
        <v>42464</v>
      </c>
      <c r="C383">
        <v>6101</v>
      </c>
      <c r="D383">
        <v>3.8699998855590798</v>
      </c>
      <c r="E383">
        <v>3.8699998855590798</v>
      </c>
      <c r="F383">
        <v>0</v>
      </c>
      <c r="G383">
        <v>0.52999997138977095</v>
      </c>
      <c r="H383">
        <v>0.230000004172325</v>
      </c>
      <c r="I383">
        <v>3.0999999046325701</v>
      </c>
      <c r="J383">
        <v>0</v>
      </c>
      <c r="K383">
        <v>31</v>
      </c>
      <c r="L383">
        <v>24</v>
      </c>
      <c r="M383">
        <v>138</v>
      </c>
      <c r="N383">
        <v>1247</v>
      </c>
      <c r="O383">
        <v>2421</v>
      </c>
      <c r="P383" s="3" t="str" cm="1">
        <f t="array" ref="P383">_xlfn.XLOOKUP(A383&amp;B383,'[1]Daily Sleep'!$A$2:$A$468&amp;'[1]Daily Sleep'!$B$2:$B$468,'[1]Daily Sleep'!$D$2:$D$468,"")</f>
        <v/>
      </c>
      <c r="Q383" t="str">
        <f t="shared" si="10"/>
        <v>Monday</v>
      </c>
      <c r="R383" t="str">
        <f t="shared" si="11"/>
        <v>Weekday</v>
      </c>
    </row>
    <row r="384" spans="1:18" x14ac:dyDescent="0.35">
      <c r="A384">
        <v>7086361926</v>
      </c>
      <c r="B384" s="1">
        <v>42465</v>
      </c>
      <c r="C384">
        <v>7478</v>
      </c>
      <c r="D384">
        <v>4.9899997711181596</v>
      </c>
      <c r="E384">
        <v>4.9899997711181596</v>
      </c>
      <c r="F384">
        <v>0</v>
      </c>
      <c r="G384">
        <v>1.79999995231628</v>
      </c>
      <c r="H384">
        <v>0.52999997138977095</v>
      </c>
      <c r="I384">
        <v>2.6099998950958301</v>
      </c>
      <c r="J384">
        <v>2.9999999329447701E-2</v>
      </c>
      <c r="K384">
        <v>25</v>
      </c>
      <c r="L384">
        <v>33</v>
      </c>
      <c r="M384">
        <v>132</v>
      </c>
      <c r="N384">
        <v>1159</v>
      </c>
      <c r="O384">
        <v>2439</v>
      </c>
      <c r="P384" s="3" cm="1">
        <f t="array" ref="P384">_xlfn.XLOOKUP(A384&amp;B384,'[1]Daily Sleep'!$A$2:$A$468&amp;'[1]Daily Sleep'!$B$2:$B$468,'[1]Daily Sleep'!$D$2:$D$468,"")</f>
        <v>1.4833333333333334</v>
      </c>
      <c r="Q384" t="str">
        <f t="shared" si="10"/>
        <v>Tuesday</v>
      </c>
      <c r="R384" t="str">
        <f t="shared" si="11"/>
        <v>Weekday</v>
      </c>
    </row>
    <row r="385" spans="1:18" x14ac:dyDescent="0.35">
      <c r="A385">
        <v>7086361926</v>
      </c>
      <c r="B385" s="1">
        <v>42466</v>
      </c>
      <c r="C385">
        <v>7352</v>
      </c>
      <c r="D385">
        <v>4.7300000190734899</v>
      </c>
      <c r="E385">
        <v>4.7300000190734899</v>
      </c>
      <c r="F385">
        <v>0</v>
      </c>
      <c r="G385">
        <v>1.4099999666214</v>
      </c>
      <c r="H385">
        <v>0.77999997138977095</v>
      </c>
      <c r="I385">
        <v>2.5299999713897701</v>
      </c>
      <c r="J385">
        <v>0</v>
      </c>
      <c r="K385">
        <v>19</v>
      </c>
      <c r="L385">
        <v>14</v>
      </c>
      <c r="M385">
        <v>124</v>
      </c>
      <c r="N385">
        <v>814</v>
      </c>
      <c r="O385">
        <v>2233</v>
      </c>
      <c r="P385" s="3" cm="1">
        <f t="array" ref="P385">_xlfn.XLOOKUP(A385&amp;B385,'[1]Daily Sleep'!$A$2:$A$468&amp;'[1]Daily Sleep'!$B$2:$B$468,'[1]Daily Sleep'!$D$2:$D$468,"")</f>
        <v>7.5666666666666664</v>
      </c>
      <c r="Q385" t="str">
        <f t="shared" si="10"/>
        <v>Wednesday</v>
      </c>
      <c r="R385" t="str">
        <f t="shared" si="11"/>
        <v>Weekday</v>
      </c>
    </row>
    <row r="386" spans="1:18" x14ac:dyDescent="0.35">
      <c r="A386">
        <v>7086361926</v>
      </c>
      <c r="B386" s="1">
        <v>42467</v>
      </c>
      <c r="C386">
        <v>14604</v>
      </c>
      <c r="D386">
        <v>10.819999694824199</v>
      </c>
      <c r="E386">
        <v>10.819999694824199</v>
      </c>
      <c r="F386">
        <v>0</v>
      </c>
      <c r="G386">
        <v>7.2300000190734899</v>
      </c>
      <c r="H386">
        <v>1.12000000476837</v>
      </c>
      <c r="I386">
        <v>2.4300000667571999</v>
      </c>
      <c r="J386">
        <v>2.9999999329447701E-2</v>
      </c>
      <c r="K386">
        <v>76</v>
      </c>
      <c r="L386">
        <v>30</v>
      </c>
      <c r="M386">
        <v>127</v>
      </c>
      <c r="N386">
        <v>695</v>
      </c>
      <c r="O386">
        <v>2862</v>
      </c>
      <c r="P386" s="3" cm="1">
        <f t="array" ref="P386">_xlfn.XLOOKUP(A386&amp;B386,'[1]Daily Sleep'!$A$2:$A$468&amp;'[1]Daily Sleep'!$B$2:$B$468,'[1]Daily Sleep'!$D$2:$D$468,"")</f>
        <v>8.3833333333333329</v>
      </c>
      <c r="Q386" t="str">
        <f t="shared" si="10"/>
        <v>Thursday</v>
      </c>
      <c r="R386" t="str">
        <f t="shared" si="11"/>
        <v>Weekend</v>
      </c>
    </row>
    <row r="387" spans="1:18" x14ac:dyDescent="0.35">
      <c r="A387">
        <v>7086361926</v>
      </c>
      <c r="B387" s="1">
        <v>42468</v>
      </c>
      <c r="C387">
        <v>9634</v>
      </c>
      <c r="D387">
        <v>6.5199999809265101</v>
      </c>
      <c r="E387">
        <v>6.5199999809265101</v>
      </c>
      <c r="F387">
        <v>0</v>
      </c>
      <c r="G387">
        <v>2.5</v>
      </c>
      <c r="H387">
        <v>1.3999999761581401</v>
      </c>
      <c r="I387">
        <v>2.5899999141693102</v>
      </c>
      <c r="J387">
        <v>0</v>
      </c>
      <c r="K387">
        <v>50</v>
      </c>
      <c r="L387">
        <v>48</v>
      </c>
      <c r="M387">
        <v>140</v>
      </c>
      <c r="N387">
        <v>797</v>
      </c>
      <c r="O387">
        <v>2752</v>
      </c>
      <c r="P387" s="3" cm="1">
        <f t="array" ref="P387">_xlfn.XLOOKUP(A387&amp;B387,'[1]Daily Sleep'!$A$2:$A$468&amp;'[1]Daily Sleep'!$B$2:$B$468,'[1]Daily Sleep'!$D$2:$D$468,"")</f>
        <v>6.4833333333333334</v>
      </c>
      <c r="Q387" t="str">
        <f t="shared" ref="Q387:Q450" si="12">TEXT(B387,"dddd")</f>
        <v>Friday</v>
      </c>
      <c r="R387" t="str">
        <f t="shared" ref="R387:R450" si="13">IF(OR(WEEKDAY(B388,2)=5,WEEKDAY(B388,2)=6),"Weekend","Weekday")</f>
        <v>Weekend</v>
      </c>
    </row>
    <row r="388" spans="1:18" x14ac:dyDescent="0.35">
      <c r="A388">
        <v>7086361926</v>
      </c>
      <c r="B388" s="1">
        <v>42469</v>
      </c>
      <c r="C388">
        <v>7338</v>
      </c>
      <c r="D388">
        <v>4.6700000762939498</v>
      </c>
      <c r="E388">
        <v>4.6700000762939498</v>
      </c>
      <c r="F388">
        <v>0</v>
      </c>
      <c r="G388">
        <v>1.08000004291534</v>
      </c>
      <c r="H388">
        <v>0.129999995231628</v>
      </c>
      <c r="I388">
        <v>3.46000003814697</v>
      </c>
      <c r="J388">
        <v>0</v>
      </c>
      <c r="K388">
        <v>27</v>
      </c>
      <c r="L388">
        <v>5</v>
      </c>
      <c r="M388">
        <v>204</v>
      </c>
      <c r="N388">
        <v>717</v>
      </c>
      <c r="O388">
        <v>2519</v>
      </c>
      <c r="P388" s="3" cm="1">
        <f t="array" ref="P388">_xlfn.XLOOKUP(A388&amp;B388,'[1]Daily Sleep'!$A$2:$A$468&amp;'[1]Daily Sleep'!$B$2:$B$468,'[1]Daily Sleep'!$D$2:$D$468,"")</f>
        <v>7.7666666666666666</v>
      </c>
      <c r="Q388" t="str">
        <f t="shared" si="12"/>
        <v>Saturday</v>
      </c>
      <c r="R388" t="str">
        <f t="shared" si="13"/>
        <v>Weekday</v>
      </c>
    </row>
    <row r="389" spans="1:18" x14ac:dyDescent="0.35">
      <c r="A389">
        <v>7086361926</v>
      </c>
      <c r="B389" s="1">
        <v>42470</v>
      </c>
      <c r="C389">
        <v>569</v>
      </c>
      <c r="D389">
        <v>0.34999999403953602</v>
      </c>
      <c r="E389">
        <v>0.34999999403953602</v>
      </c>
      <c r="F389">
        <v>0</v>
      </c>
      <c r="G389">
        <v>0</v>
      </c>
      <c r="H389">
        <v>0</v>
      </c>
      <c r="I389">
        <v>0.34000000357627902</v>
      </c>
      <c r="J389">
        <v>0</v>
      </c>
      <c r="K389">
        <v>0</v>
      </c>
      <c r="L389">
        <v>0</v>
      </c>
      <c r="M389">
        <v>27</v>
      </c>
      <c r="N389">
        <v>1368</v>
      </c>
      <c r="O389">
        <v>1799</v>
      </c>
      <c r="P389" s="3" cm="1">
        <f t="array" ref="P389">_xlfn.XLOOKUP(A389&amp;B389,'[1]Daily Sleep'!$A$2:$A$468&amp;'[1]Daily Sleep'!$B$2:$B$468,'[1]Daily Sleep'!$D$2:$D$468,"")</f>
        <v>0.6</v>
      </c>
      <c r="Q389" t="str">
        <f t="shared" si="12"/>
        <v>Sunday</v>
      </c>
      <c r="R389" t="str">
        <f t="shared" si="13"/>
        <v>Weekday</v>
      </c>
    </row>
    <row r="390" spans="1:18" x14ac:dyDescent="0.35">
      <c r="A390">
        <v>7086361926</v>
      </c>
      <c r="B390" s="1">
        <v>42471</v>
      </c>
      <c r="C390">
        <v>6242</v>
      </c>
      <c r="D390">
        <v>3.9200000762939502</v>
      </c>
      <c r="E390">
        <v>3.9200000762939502</v>
      </c>
      <c r="F390">
        <v>0</v>
      </c>
      <c r="G390">
        <v>0.74000000953674305</v>
      </c>
      <c r="H390">
        <v>0.230000004172325</v>
      </c>
      <c r="I390">
        <v>2.9300000667571999</v>
      </c>
      <c r="J390">
        <v>0</v>
      </c>
      <c r="K390">
        <v>46</v>
      </c>
      <c r="L390">
        <v>22</v>
      </c>
      <c r="M390">
        <v>126</v>
      </c>
      <c r="N390">
        <v>741</v>
      </c>
      <c r="O390">
        <v>2543</v>
      </c>
      <c r="P390" s="3" cm="1">
        <f t="array" ref="P390">_xlfn.XLOOKUP(A390&amp;B390,'[1]Daily Sleep'!$A$2:$A$468&amp;'[1]Daily Sleep'!$B$2:$B$468,'[1]Daily Sleep'!$D$2:$D$468,"")</f>
        <v>8.2833333333333332</v>
      </c>
      <c r="Q390" t="str">
        <f t="shared" si="12"/>
        <v>Monday</v>
      </c>
      <c r="R390" t="str">
        <f t="shared" si="13"/>
        <v>Weekday</v>
      </c>
    </row>
    <row r="391" spans="1:18" x14ac:dyDescent="0.35">
      <c r="A391">
        <v>7086361926</v>
      </c>
      <c r="B391" s="1">
        <v>42472</v>
      </c>
      <c r="C391">
        <v>430</v>
      </c>
      <c r="D391">
        <v>0.259999990463257</v>
      </c>
      <c r="E391">
        <v>0.259999990463257</v>
      </c>
      <c r="F391">
        <v>0</v>
      </c>
      <c r="G391">
        <v>0</v>
      </c>
      <c r="H391">
        <v>0</v>
      </c>
      <c r="I391">
        <v>0.259999990463257</v>
      </c>
      <c r="J391">
        <v>0</v>
      </c>
      <c r="K391">
        <v>0</v>
      </c>
      <c r="L391">
        <v>0</v>
      </c>
      <c r="M391">
        <v>14</v>
      </c>
      <c r="N391">
        <v>75</v>
      </c>
      <c r="O391">
        <v>625</v>
      </c>
      <c r="P391" s="3" cm="1">
        <f t="array" ref="P391">_xlfn.XLOOKUP(A391&amp;B391,'[1]Daily Sleep'!$A$2:$A$468&amp;'[1]Daily Sleep'!$B$2:$B$468,'[1]Daily Sleep'!$D$2:$D$468,"")</f>
        <v>6.833333333333333</v>
      </c>
      <c r="Q391" t="str">
        <f t="shared" si="12"/>
        <v>Tuesday</v>
      </c>
      <c r="R391" t="str">
        <f t="shared" si="13"/>
        <v>Weekend</v>
      </c>
    </row>
    <row r="392" spans="1:18" x14ac:dyDescent="0.35">
      <c r="A392">
        <v>8053475328</v>
      </c>
      <c r="B392" s="1">
        <v>42462</v>
      </c>
      <c r="C392">
        <v>20188</v>
      </c>
      <c r="D392">
        <v>15.6199998855591</v>
      </c>
      <c r="E392">
        <v>15.6199998855591</v>
      </c>
      <c r="F392">
        <v>0</v>
      </c>
      <c r="G392">
        <v>12.060000419616699</v>
      </c>
      <c r="H392">
        <v>0.85000002384185802</v>
      </c>
      <c r="I392">
        <v>2.71000003814697</v>
      </c>
      <c r="J392">
        <v>0</v>
      </c>
      <c r="K392">
        <v>124</v>
      </c>
      <c r="L392">
        <v>19</v>
      </c>
      <c r="M392">
        <v>172</v>
      </c>
      <c r="N392">
        <v>1125</v>
      </c>
      <c r="O392">
        <v>3377</v>
      </c>
      <c r="P392" s="3" t="str" cm="1">
        <f t="array" ref="P392">_xlfn.XLOOKUP(A392&amp;B392,'[1]Daily Sleep'!$A$2:$A$468&amp;'[1]Daily Sleep'!$B$2:$B$468,'[1]Daily Sleep'!$D$2:$D$468,"")</f>
        <v/>
      </c>
      <c r="Q392" t="str">
        <f t="shared" si="12"/>
        <v>Saturday</v>
      </c>
      <c r="R392" t="str">
        <f t="shared" si="13"/>
        <v>Weekday</v>
      </c>
    </row>
    <row r="393" spans="1:18" x14ac:dyDescent="0.35">
      <c r="A393">
        <v>8053475328</v>
      </c>
      <c r="B393" s="1">
        <v>42463</v>
      </c>
      <c r="C393">
        <v>25701</v>
      </c>
      <c r="D393">
        <v>20.139999389648398</v>
      </c>
      <c r="E393">
        <v>20.139999389648398</v>
      </c>
      <c r="F393">
        <v>0</v>
      </c>
      <c r="G393">
        <v>16.819999694824201</v>
      </c>
      <c r="H393">
        <v>1.62999999523163</v>
      </c>
      <c r="I393">
        <v>1.6900000572204601</v>
      </c>
      <c r="J393">
        <v>0</v>
      </c>
      <c r="K393">
        <v>165</v>
      </c>
      <c r="L393">
        <v>36</v>
      </c>
      <c r="M393">
        <v>97</v>
      </c>
      <c r="N393">
        <v>1142</v>
      </c>
      <c r="O393">
        <v>3697</v>
      </c>
      <c r="P393" s="3" t="str" cm="1">
        <f t="array" ref="P393">_xlfn.XLOOKUP(A393&amp;B393,'[1]Daily Sleep'!$A$2:$A$468&amp;'[1]Daily Sleep'!$B$2:$B$468,'[1]Daily Sleep'!$D$2:$D$468,"")</f>
        <v/>
      </c>
      <c r="Q393" t="str">
        <f t="shared" si="12"/>
        <v>Sunday</v>
      </c>
      <c r="R393" t="str">
        <f t="shared" si="13"/>
        <v>Weekday</v>
      </c>
    </row>
    <row r="394" spans="1:18" x14ac:dyDescent="0.35">
      <c r="A394">
        <v>8053475328</v>
      </c>
      <c r="B394" s="1">
        <v>42464</v>
      </c>
      <c r="C394">
        <v>17395</v>
      </c>
      <c r="D394">
        <v>13.210000038146999</v>
      </c>
      <c r="E394">
        <v>13.210000038146999</v>
      </c>
      <c r="F394">
        <v>0</v>
      </c>
      <c r="G394">
        <v>9.6700000762939506</v>
      </c>
      <c r="H394">
        <v>0.18000000715255701</v>
      </c>
      <c r="I394">
        <v>3.3499999046325701</v>
      </c>
      <c r="J394">
        <v>0</v>
      </c>
      <c r="K394">
        <v>100</v>
      </c>
      <c r="L394">
        <v>4</v>
      </c>
      <c r="M394">
        <v>213</v>
      </c>
      <c r="N394">
        <v>1123</v>
      </c>
      <c r="O394">
        <v>3209</v>
      </c>
      <c r="P394" s="3" t="str" cm="1">
        <f t="array" ref="P394">_xlfn.XLOOKUP(A394&amp;B394,'[1]Daily Sleep'!$A$2:$A$468&amp;'[1]Daily Sleep'!$B$2:$B$468,'[1]Daily Sleep'!$D$2:$D$468,"")</f>
        <v/>
      </c>
      <c r="Q394" t="str">
        <f t="shared" si="12"/>
        <v>Monday</v>
      </c>
      <c r="R394" t="str">
        <f t="shared" si="13"/>
        <v>Weekday</v>
      </c>
    </row>
    <row r="395" spans="1:18" x14ac:dyDescent="0.35">
      <c r="A395">
        <v>8053475328</v>
      </c>
      <c r="B395" s="1">
        <v>42465</v>
      </c>
      <c r="C395">
        <v>17167</v>
      </c>
      <c r="D395">
        <v>13.4099998474121</v>
      </c>
      <c r="E395">
        <v>13.4099998474121</v>
      </c>
      <c r="F395">
        <v>0</v>
      </c>
      <c r="G395">
        <v>9.9600000381469709</v>
      </c>
      <c r="H395">
        <v>0.31000000238418601</v>
      </c>
      <c r="I395">
        <v>3.1400001049041699</v>
      </c>
      <c r="J395">
        <v>0</v>
      </c>
      <c r="K395">
        <v>98</v>
      </c>
      <c r="L395">
        <v>8</v>
      </c>
      <c r="M395">
        <v>184</v>
      </c>
      <c r="N395">
        <v>1150</v>
      </c>
      <c r="O395">
        <v>3167</v>
      </c>
      <c r="P395" s="3" t="str" cm="1">
        <f t="array" ref="P395">_xlfn.XLOOKUP(A395&amp;B395,'[1]Daily Sleep'!$A$2:$A$468&amp;'[1]Daily Sleep'!$B$2:$B$468,'[1]Daily Sleep'!$D$2:$D$468,"")</f>
        <v/>
      </c>
      <c r="Q395" t="str">
        <f t="shared" si="12"/>
        <v>Tuesday</v>
      </c>
      <c r="R395" t="str">
        <f t="shared" si="13"/>
        <v>Weekday</v>
      </c>
    </row>
    <row r="396" spans="1:18" x14ac:dyDescent="0.35">
      <c r="A396">
        <v>8053475328</v>
      </c>
      <c r="B396" s="1">
        <v>42466</v>
      </c>
      <c r="C396">
        <v>16435</v>
      </c>
      <c r="D396">
        <v>12.420000076293899</v>
      </c>
      <c r="E396">
        <v>12.420000076293899</v>
      </c>
      <c r="F396">
        <v>0</v>
      </c>
      <c r="G396">
        <v>8.9600000381469709</v>
      </c>
      <c r="H396">
        <v>0.55000001192092896</v>
      </c>
      <c r="I396">
        <v>2.9100000858306898</v>
      </c>
      <c r="J396">
        <v>0</v>
      </c>
      <c r="K396">
        <v>100</v>
      </c>
      <c r="L396">
        <v>14</v>
      </c>
      <c r="M396">
        <v>191</v>
      </c>
      <c r="N396">
        <v>1135</v>
      </c>
      <c r="O396">
        <v>3122</v>
      </c>
      <c r="P396" s="3" t="str" cm="1">
        <f t="array" ref="P396">_xlfn.XLOOKUP(A396&amp;B396,'[1]Daily Sleep'!$A$2:$A$468&amp;'[1]Daily Sleep'!$B$2:$B$468,'[1]Daily Sleep'!$D$2:$D$468,"")</f>
        <v/>
      </c>
      <c r="Q396" t="str">
        <f t="shared" si="12"/>
        <v>Wednesday</v>
      </c>
      <c r="R396" t="str">
        <f t="shared" si="13"/>
        <v>Weekday</v>
      </c>
    </row>
    <row r="397" spans="1:18" x14ac:dyDescent="0.35">
      <c r="A397">
        <v>8053475328</v>
      </c>
      <c r="B397" s="1">
        <v>42467</v>
      </c>
      <c r="C397">
        <v>17078</v>
      </c>
      <c r="D397">
        <v>13.199999809265099</v>
      </c>
      <c r="E397">
        <v>13.199999809265099</v>
      </c>
      <c r="F397">
        <v>0</v>
      </c>
      <c r="G397">
        <v>9.9700002670288104</v>
      </c>
      <c r="H397">
        <v>0.239999994635582</v>
      </c>
      <c r="I397">
        <v>2.9900000095367401</v>
      </c>
      <c r="J397">
        <v>0</v>
      </c>
      <c r="K397">
        <v>101</v>
      </c>
      <c r="L397">
        <v>6</v>
      </c>
      <c r="M397">
        <v>190</v>
      </c>
      <c r="N397">
        <v>1143</v>
      </c>
      <c r="O397">
        <v>3176</v>
      </c>
      <c r="P397" s="3" t="str" cm="1">
        <f t="array" ref="P397">_xlfn.XLOOKUP(A397&amp;B397,'[1]Daily Sleep'!$A$2:$A$468&amp;'[1]Daily Sleep'!$B$2:$B$468,'[1]Daily Sleep'!$D$2:$D$468,"")</f>
        <v/>
      </c>
      <c r="Q397" t="str">
        <f t="shared" si="12"/>
        <v>Thursday</v>
      </c>
      <c r="R397" t="str">
        <f t="shared" si="13"/>
        <v>Weekend</v>
      </c>
    </row>
    <row r="398" spans="1:18" x14ac:dyDescent="0.35">
      <c r="A398">
        <v>8053475328</v>
      </c>
      <c r="B398" s="1">
        <v>42468</v>
      </c>
      <c r="C398">
        <v>11693</v>
      </c>
      <c r="D398">
        <v>9.5399999618530291</v>
      </c>
      <c r="E398">
        <v>9.5399999618530291</v>
      </c>
      <c r="F398">
        <v>0</v>
      </c>
      <c r="G398">
        <v>6.7699999809265101</v>
      </c>
      <c r="H398">
        <v>0.259999990463257</v>
      </c>
      <c r="I398">
        <v>2.5</v>
      </c>
      <c r="J398">
        <v>0</v>
      </c>
      <c r="K398">
        <v>60</v>
      </c>
      <c r="L398">
        <v>6</v>
      </c>
      <c r="M398">
        <v>153</v>
      </c>
      <c r="N398">
        <v>1221</v>
      </c>
      <c r="O398">
        <v>2790</v>
      </c>
      <c r="P398" s="3" t="str" cm="1">
        <f t="array" ref="P398">_xlfn.XLOOKUP(A398&amp;B398,'[1]Daily Sleep'!$A$2:$A$468&amp;'[1]Daily Sleep'!$B$2:$B$468,'[1]Daily Sleep'!$D$2:$D$468,"")</f>
        <v/>
      </c>
      <c r="Q398" t="str">
        <f t="shared" si="12"/>
        <v>Friday</v>
      </c>
      <c r="R398" t="str">
        <f t="shared" si="13"/>
        <v>Weekend</v>
      </c>
    </row>
    <row r="399" spans="1:18" x14ac:dyDescent="0.35">
      <c r="A399">
        <v>8053475328</v>
      </c>
      <c r="B399" s="1">
        <v>42469</v>
      </c>
      <c r="C399">
        <v>11159</v>
      </c>
      <c r="D399">
        <v>9.1400003433227504</v>
      </c>
      <c r="E399">
        <v>9.1400003433227504</v>
      </c>
      <c r="F399">
        <v>0</v>
      </c>
      <c r="G399">
        <v>6.6900000572204599</v>
      </c>
      <c r="H399">
        <v>0.25</v>
      </c>
      <c r="I399">
        <v>2.1900000572204599</v>
      </c>
      <c r="J399">
        <v>0</v>
      </c>
      <c r="K399">
        <v>59</v>
      </c>
      <c r="L399">
        <v>6</v>
      </c>
      <c r="M399">
        <v>120</v>
      </c>
      <c r="N399">
        <v>1255</v>
      </c>
      <c r="O399">
        <v>2715</v>
      </c>
      <c r="P399" s="3" t="str" cm="1">
        <f t="array" ref="P399">_xlfn.XLOOKUP(A399&amp;B399,'[1]Daily Sleep'!$A$2:$A$468&amp;'[1]Daily Sleep'!$B$2:$B$468,'[1]Daily Sleep'!$D$2:$D$468,"")</f>
        <v/>
      </c>
      <c r="Q399" t="str">
        <f t="shared" si="12"/>
        <v>Saturday</v>
      </c>
      <c r="R399" t="str">
        <f t="shared" si="13"/>
        <v>Weekday</v>
      </c>
    </row>
    <row r="400" spans="1:18" x14ac:dyDescent="0.35">
      <c r="A400">
        <v>8053475328</v>
      </c>
      <c r="B400" s="1">
        <v>42470</v>
      </c>
      <c r="C400">
        <v>10118</v>
      </c>
      <c r="D400">
        <v>7.7300000190734899</v>
      </c>
      <c r="E400">
        <v>7.7300000190734899</v>
      </c>
      <c r="F400">
        <v>0</v>
      </c>
      <c r="G400">
        <v>3.0499999523162802</v>
      </c>
      <c r="H400">
        <v>0.80000001192092896</v>
      </c>
      <c r="I400">
        <v>3.8800001144409202</v>
      </c>
      <c r="J400">
        <v>0</v>
      </c>
      <c r="K400">
        <v>30</v>
      </c>
      <c r="L400">
        <v>18</v>
      </c>
      <c r="M400">
        <v>207</v>
      </c>
      <c r="N400">
        <v>1185</v>
      </c>
      <c r="O400">
        <v>2684</v>
      </c>
      <c r="P400" s="3" t="str" cm="1">
        <f t="array" ref="P400">_xlfn.XLOOKUP(A400&amp;B400,'[1]Daily Sleep'!$A$2:$A$468&amp;'[1]Daily Sleep'!$B$2:$B$468,'[1]Daily Sleep'!$D$2:$D$468,"")</f>
        <v/>
      </c>
      <c r="Q400" t="str">
        <f t="shared" si="12"/>
        <v>Sunday</v>
      </c>
      <c r="R400" t="str">
        <f t="shared" si="13"/>
        <v>Weekday</v>
      </c>
    </row>
    <row r="401" spans="1:18" x14ac:dyDescent="0.35">
      <c r="A401">
        <v>8053475328</v>
      </c>
      <c r="B401" s="1">
        <v>42471</v>
      </c>
      <c r="C401">
        <v>16064</v>
      </c>
      <c r="D401">
        <v>12.7200002670288</v>
      </c>
      <c r="E401">
        <v>12.7200002670288</v>
      </c>
      <c r="F401">
        <v>0</v>
      </c>
      <c r="G401">
        <v>9.9799995422363299</v>
      </c>
      <c r="H401">
        <v>0.36000001430511502</v>
      </c>
      <c r="I401">
        <v>2.3800001144409202</v>
      </c>
      <c r="J401">
        <v>0</v>
      </c>
      <c r="K401">
        <v>96</v>
      </c>
      <c r="L401">
        <v>8</v>
      </c>
      <c r="M401">
        <v>155</v>
      </c>
      <c r="N401">
        <v>1181</v>
      </c>
      <c r="O401">
        <v>3097</v>
      </c>
      <c r="P401" s="3" t="str" cm="1">
        <f t="array" ref="P401">_xlfn.XLOOKUP(A401&amp;B401,'[1]Daily Sleep'!$A$2:$A$468&amp;'[1]Daily Sleep'!$B$2:$B$468,'[1]Daily Sleep'!$D$2:$D$468,"")</f>
        <v/>
      </c>
      <c r="Q401" t="str">
        <f t="shared" si="12"/>
        <v>Monday</v>
      </c>
      <c r="R401" t="str">
        <f t="shared" si="13"/>
        <v>Weekday</v>
      </c>
    </row>
    <row r="402" spans="1:18" x14ac:dyDescent="0.35">
      <c r="A402">
        <v>8053475328</v>
      </c>
      <c r="B402" s="1">
        <v>42472</v>
      </c>
      <c r="C402">
        <v>290</v>
      </c>
      <c r="D402">
        <v>0.20999999344348899</v>
      </c>
      <c r="E402">
        <v>0.20999999344348899</v>
      </c>
      <c r="F402">
        <v>0</v>
      </c>
      <c r="G402">
        <v>0</v>
      </c>
      <c r="H402">
        <v>0</v>
      </c>
      <c r="I402">
        <v>0.20999999344348899</v>
      </c>
      <c r="J402">
        <v>0</v>
      </c>
      <c r="K402">
        <v>0</v>
      </c>
      <c r="L402">
        <v>0</v>
      </c>
      <c r="M402">
        <v>16</v>
      </c>
      <c r="N402">
        <v>599</v>
      </c>
      <c r="O402">
        <v>791</v>
      </c>
      <c r="P402" s="3" t="str" cm="1">
        <f t="array" ref="P402">_xlfn.XLOOKUP(A402&amp;B402,'[1]Daily Sleep'!$A$2:$A$468&amp;'[1]Daily Sleep'!$B$2:$B$468,'[1]Daily Sleep'!$D$2:$D$468,"")</f>
        <v/>
      </c>
      <c r="Q402" t="str">
        <f t="shared" si="12"/>
        <v>Tuesday</v>
      </c>
      <c r="R402" t="str">
        <f t="shared" si="13"/>
        <v>Weekend</v>
      </c>
    </row>
    <row r="403" spans="1:18" x14ac:dyDescent="0.35">
      <c r="A403">
        <v>8253242879</v>
      </c>
      <c r="B403" s="1">
        <v>42461</v>
      </c>
      <c r="C403">
        <v>0</v>
      </c>
      <c r="D403">
        <v>0</v>
      </c>
      <c r="E403">
        <v>0</v>
      </c>
      <c r="F403">
        <v>0</v>
      </c>
      <c r="G403">
        <v>0</v>
      </c>
      <c r="H403">
        <v>0</v>
      </c>
      <c r="I403">
        <v>0</v>
      </c>
      <c r="J403">
        <v>0</v>
      </c>
      <c r="K403">
        <v>0</v>
      </c>
      <c r="L403">
        <v>0</v>
      </c>
      <c r="M403">
        <v>0</v>
      </c>
      <c r="N403">
        <v>1440</v>
      </c>
      <c r="O403">
        <v>1429</v>
      </c>
      <c r="P403" s="3" t="str" cm="1">
        <f t="array" ref="P403">_xlfn.XLOOKUP(A403&amp;B403,'[1]Daily Sleep'!$A$2:$A$468&amp;'[1]Daily Sleep'!$B$2:$B$468,'[1]Daily Sleep'!$D$2:$D$468,"")</f>
        <v/>
      </c>
      <c r="Q403" t="str">
        <f t="shared" si="12"/>
        <v>Friday</v>
      </c>
      <c r="R403" t="str">
        <f t="shared" si="13"/>
        <v>Weekend</v>
      </c>
    </row>
    <row r="404" spans="1:18" x14ac:dyDescent="0.35">
      <c r="A404">
        <v>8253242879</v>
      </c>
      <c r="B404" s="1">
        <v>42462</v>
      </c>
      <c r="C404">
        <v>0</v>
      </c>
      <c r="D404">
        <v>0</v>
      </c>
      <c r="E404">
        <v>0</v>
      </c>
      <c r="F404">
        <v>0</v>
      </c>
      <c r="G404">
        <v>0</v>
      </c>
      <c r="H404">
        <v>0</v>
      </c>
      <c r="I404">
        <v>0</v>
      </c>
      <c r="J404">
        <v>0</v>
      </c>
      <c r="K404">
        <v>0</v>
      </c>
      <c r="L404">
        <v>0</v>
      </c>
      <c r="M404">
        <v>0</v>
      </c>
      <c r="N404">
        <v>1440</v>
      </c>
      <c r="O404">
        <v>1429</v>
      </c>
      <c r="P404" s="3" t="str" cm="1">
        <f t="array" ref="P404">_xlfn.XLOOKUP(A404&amp;B404,'[1]Daily Sleep'!$A$2:$A$468&amp;'[1]Daily Sleep'!$B$2:$B$468,'[1]Daily Sleep'!$D$2:$D$468,"")</f>
        <v/>
      </c>
      <c r="Q404" t="str">
        <f t="shared" si="12"/>
        <v>Saturday</v>
      </c>
      <c r="R404" t="str">
        <f t="shared" si="13"/>
        <v>Weekday</v>
      </c>
    </row>
    <row r="405" spans="1:18" x14ac:dyDescent="0.35">
      <c r="A405">
        <v>8253242879</v>
      </c>
      <c r="B405" s="1">
        <v>42463</v>
      </c>
      <c r="C405">
        <v>0</v>
      </c>
      <c r="D405">
        <v>0</v>
      </c>
      <c r="E405">
        <v>0</v>
      </c>
      <c r="F405">
        <v>0</v>
      </c>
      <c r="G405">
        <v>0</v>
      </c>
      <c r="H405">
        <v>0</v>
      </c>
      <c r="I405">
        <v>0</v>
      </c>
      <c r="J405">
        <v>0</v>
      </c>
      <c r="K405">
        <v>0</v>
      </c>
      <c r="L405">
        <v>0</v>
      </c>
      <c r="M405">
        <v>0</v>
      </c>
      <c r="N405">
        <v>1440</v>
      </c>
      <c r="O405">
        <v>1429</v>
      </c>
      <c r="P405" s="3" t="str" cm="1">
        <f t="array" ref="P405">_xlfn.XLOOKUP(A405&amp;B405,'[1]Daily Sleep'!$A$2:$A$468&amp;'[1]Daily Sleep'!$B$2:$B$468,'[1]Daily Sleep'!$D$2:$D$468,"")</f>
        <v/>
      </c>
      <c r="Q405" t="str">
        <f t="shared" si="12"/>
        <v>Sunday</v>
      </c>
      <c r="R405" t="str">
        <f t="shared" si="13"/>
        <v>Weekday</v>
      </c>
    </row>
    <row r="406" spans="1:18" x14ac:dyDescent="0.35">
      <c r="A406">
        <v>8253242879</v>
      </c>
      <c r="B406" s="1">
        <v>42464</v>
      </c>
      <c r="C406">
        <v>0</v>
      </c>
      <c r="D406">
        <v>0</v>
      </c>
      <c r="E406">
        <v>0</v>
      </c>
      <c r="F406">
        <v>0</v>
      </c>
      <c r="G406">
        <v>0</v>
      </c>
      <c r="H406">
        <v>0</v>
      </c>
      <c r="I406">
        <v>0</v>
      </c>
      <c r="J406">
        <v>0</v>
      </c>
      <c r="K406">
        <v>0</v>
      </c>
      <c r="L406">
        <v>0</v>
      </c>
      <c r="M406">
        <v>0</v>
      </c>
      <c r="N406">
        <v>1440</v>
      </c>
      <c r="O406">
        <v>1429</v>
      </c>
      <c r="P406" s="3" t="str" cm="1">
        <f t="array" ref="P406">_xlfn.XLOOKUP(A406&amp;B406,'[1]Daily Sleep'!$A$2:$A$468&amp;'[1]Daily Sleep'!$B$2:$B$468,'[1]Daily Sleep'!$D$2:$D$468,"")</f>
        <v/>
      </c>
      <c r="Q406" t="str">
        <f t="shared" si="12"/>
        <v>Monday</v>
      </c>
      <c r="R406" t="str">
        <f t="shared" si="13"/>
        <v>Weekday</v>
      </c>
    </row>
    <row r="407" spans="1:18" x14ac:dyDescent="0.35">
      <c r="A407">
        <v>8253242879</v>
      </c>
      <c r="B407" s="1">
        <v>42465</v>
      </c>
      <c r="C407">
        <v>0</v>
      </c>
      <c r="D407">
        <v>0</v>
      </c>
      <c r="E407">
        <v>0</v>
      </c>
      <c r="F407">
        <v>0</v>
      </c>
      <c r="G407">
        <v>0</v>
      </c>
      <c r="H407">
        <v>0</v>
      </c>
      <c r="I407">
        <v>0</v>
      </c>
      <c r="J407">
        <v>0</v>
      </c>
      <c r="K407">
        <v>0</v>
      </c>
      <c r="L407">
        <v>0</v>
      </c>
      <c r="M407">
        <v>0</v>
      </c>
      <c r="N407">
        <v>1440</v>
      </c>
      <c r="O407">
        <v>1429</v>
      </c>
      <c r="P407" s="3" t="str" cm="1">
        <f t="array" ref="P407">_xlfn.XLOOKUP(A407&amp;B407,'[1]Daily Sleep'!$A$2:$A$468&amp;'[1]Daily Sleep'!$B$2:$B$468,'[1]Daily Sleep'!$D$2:$D$468,"")</f>
        <v/>
      </c>
      <c r="Q407" t="str">
        <f t="shared" si="12"/>
        <v>Tuesday</v>
      </c>
      <c r="R407" t="str">
        <f t="shared" si="13"/>
        <v>Weekday</v>
      </c>
    </row>
    <row r="408" spans="1:18" x14ac:dyDescent="0.35">
      <c r="A408">
        <v>8253242879</v>
      </c>
      <c r="B408" s="1">
        <v>42466</v>
      </c>
      <c r="C408">
        <v>1931</v>
      </c>
      <c r="D408">
        <v>1.2799999713897701</v>
      </c>
      <c r="E408">
        <v>1.2799999713897701</v>
      </c>
      <c r="F408">
        <v>0</v>
      </c>
      <c r="G408">
        <v>0</v>
      </c>
      <c r="H408">
        <v>0</v>
      </c>
      <c r="I408">
        <v>1.2799999713897701</v>
      </c>
      <c r="J408">
        <v>0</v>
      </c>
      <c r="K408">
        <v>0</v>
      </c>
      <c r="L408">
        <v>0</v>
      </c>
      <c r="M408">
        <v>94</v>
      </c>
      <c r="N408">
        <v>1346</v>
      </c>
      <c r="O408">
        <v>1607</v>
      </c>
      <c r="P408" s="3" t="str" cm="1">
        <f t="array" ref="P408">_xlfn.XLOOKUP(A408&amp;B408,'[1]Daily Sleep'!$A$2:$A$468&amp;'[1]Daily Sleep'!$B$2:$B$468,'[1]Daily Sleep'!$D$2:$D$468,"")</f>
        <v/>
      </c>
      <c r="Q408" t="str">
        <f t="shared" si="12"/>
        <v>Wednesday</v>
      </c>
      <c r="R408" t="str">
        <f t="shared" si="13"/>
        <v>Weekday</v>
      </c>
    </row>
    <row r="409" spans="1:18" x14ac:dyDescent="0.35">
      <c r="A409">
        <v>8253242879</v>
      </c>
      <c r="B409" s="1">
        <v>42467</v>
      </c>
      <c r="C409">
        <v>5181</v>
      </c>
      <c r="D409">
        <v>3.4200000762939502</v>
      </c>
      <c r="E409">
        <v>3.4200000762939502</v>
      </c>
      <c r="F409">
        <v>0</v>
      </c>
      <c r="G409">
        <v>1</v>
      </c>
      <c r="H409">
        <v>0.91000002622604403</v>
      </c>
      <c r="I409">
        <v>1.5099999904632599</v>
      </c>
      <c r="J409">
        <v>9.9999997764825804E-3</v>
      </c>
      <c r="K409">
        <v>15</v>
      </c>
      <c r="L409">
        <v>15</v>
      </c>
      <c r="M409">
        <v>107</v>
      </c>
      <c r="N409">
        <v>1303</v>
      </c>
      <c r="O409">
        <v>1776</v>
      </c>
      <c r="P409" s="3" t="str" cm="1">
        <f t="array" ref="P409">_xlfn.XLOOKUP(A409&amp;B409,'[1]Daily Sleep'!$A$2:$A$468&amp;'[1]Daily Sleep'!$B$2:$B$468,'[1]Daily Sleep'!$D$2:$D$468,"")</f>
        <v/>
      </c>
      <c r="Q409" t="str">
        <f t="shared" si="12"/>
        <v>Thursday</v>
      </c>
      <c r="R409" t="str">
        <f t="shared" si="13"/>
        <v>Weekend</v>
      </c>
    </row>
    <row r="410" spans="1:18" x14ac:dyDescent="0.35">
      <c r="A410">
        <v>8253242879</v>
      </c>
      <c r="B410" s="1">
        <v>42468</v>
      </c>
      <c r="C410">
        <v>12026</v>
      </c>
      <c r="D410">
        <v>9.1499996185302699</v>
      </c>
      <c r="E410">
        <v>9.1499996185302699</v>
      </c>
      <c r="F410">
        <v>0</v>
      </c>
      <c r="G410">
        <v>5.6999998092651403</v>
      </c>
      <c r="H410">
        <v>0.93000000715255704</v>
      </c>
      <c r="I410">
        <v>2.5099999904632599</v>
      </c>
      <c r="J410">
        <v>0</v>
      </c>
      <c r="K410">
        <v>47</v>
      </c>
      <c r="L410">
        <v>13</v>
      </c>
      <c r="M410">
        <v>150</v>
      </c>
      <c r="N410">
        <v>1230</v>
      </c>
      <c r="O410">
        <v>2162</v>
      </c>
      <c r="P410" s="3" t="str" cm="1">
        <f t="array" ref="P410">_xlfn.XLOOKUP(A410&amp;B410,'[1]Daily Sleep'!$A$2:$A$468&amp;'[1]Daily Sleep'!$B$2:$B$468,'[1]Daily Sleep'!$D$2:$D$468,"")</f>
        <v/>
      </c>
      <c r="Q410" t="str">
        <f t="shared" si="12"/>
        <v>Friday</v>
      </c>
      <c r="R410" t="str">
        <f t="shared" si="13"/>
        <v>Weekend</v>
      </c>
    </row>
    <row r="411" spans="1:18" x14ac:dyDescent="0.35">
      <c r="A411">
        <v>8253242879</v>
      </c>
      <c r="B411" s="1">
        <v>42469</v>
      </c>
      <c r="C411">
        <v>5360</v>
      </c>
      <c r="D411">
        <v>3.53999996185303</v>
      </c>
      <c r="E411">
        <v>3.53999996185303</v>
      </c>
      <c r="F411">
        <v>0</v>
      </c>
      <c r="G411">
        <v>0.54000002145767201</v>
      </c>
      <c r="H411">
        <v>1.54999995231628</v>
      </c>
      <c r="I411">
        <v>1.46000003814697</v>
      </c>
      <c r="J411">
        <v>0</v>
      </c>
      <c r="K411">
        <v>8</v>
      </c>
      <c r="L411">
        <v>28</v>
      </c>
      <c r="M411">
        <v>148</v>
      </c>
      <c r="N411">
        <v>1256</v>
      </c>
      <c r="O411">
        <v>1832</v>
      </c>
      <c r="P411" s="3" t="str" cm="1">
        <f t="array" ref="P411">_xlfn.XLOOKUP(A411&amp;B411,'[1]Daily Sleep'!$A$2:$A$468&amp;'[1]Daily Sleep'!$B$2:$B$468,'[1]Daily Sleep'!$D$2:$D$468,"")</f>
        <v/>
      </c>
      <c r="Q411" t="str">
        <f t="shared" si="12"/>
        <v>Saturday</v>
      </c>
      <c r="R411" t="str">
        <f t="shared" si="13"/>
        <v>Weekday</v>
      </c>
    </row>
    <row r="412" spans="1:18" x14ac:dyDescent="0.35">
      <c r="A412">
        <v>8253242879</v>
      </c>
      <c r="B412" s="1">
        <v>42470</v>
      </c>
      <c r="C412">
        <v>2545</v>
      </c>
      <c r="D412">
        <v>1.6799999475479099</v>
      </c>
      <c r="E412">
        <v>1.6799999475479099</v>
      </c>
      <c r="F412">
        <v>0</v>
      </c>
      <c r="G412">
        <v>0</v>
      </c>
      <c r="H412">
        <v>0</v>
      </c>
      <c r="I412">
        <v>1.66999995708466</v>
      </c>
      <c r="J412">
        <v>1.9999999552965199E-2</v>
      </c>
      <c r="K412">
        <v>0</v>
      </c>
      <c r="L412">
        <v>0</v>
      </c>
      <c r="M412">
        <v>126</v>
      </c>
      <c r="N412">
        <v>1314</v>
      </c>
      <c r="O412">
        <v>1657</v>
      </c>
      <c r="P412" s="3" t="str" cm="1">
        <f t="array" ref="P412">_xlfn.XLOOKUP(A412&amp;B412,'[1]Daily Sleep'!$A$2:$A$468&amp;'[1]Daily Sleep'!$B$2:$B$468,'[1]Daily Sleep'!$D$2:$D$468,"")</f>
        <v/>
      </c>
      <c r="Q412" t="str">
        <f t="shared" si="12"/>
        <v>Sunday</v>
      </c>
      <c r="R412" t="str">
        <f t="shared" si="13"/>
        <v>Weekday</v>
      </c>
    </row>
    <row r="413" spans="1:18" x14ac:dyDescent="0.35">
      <c r="A413">
        <v>8253242879</v>
      </c>
      <c r="B413" s="1">
        <v>42471</v>
      </c>
      <c r="C413">
        <v>1636</v>
      </c>
      <c r="D413">
        <v>1.08000004291534</v>
      </c>
      <c r="E413">
        <v>1.08000004291534</v>
      </c>
      <c r="F413">
        <v>0</v>
      </c>
      <c r="G413">
        <v>0</v>
      </c>
      <c r="H413">
        <v>0</v>
      </c>
      <c r="I413">
        <v>1.08000004291534</v>
      </c>
      <c r="J413">
        <v>0</v>
      </c>
      <c r="K413">
        <v>0</v>
      </c>
      <c r="L413">
        <v>0</v>
      </c>
      <c r="M413">
        <v>86</v>
      </c>
      <c r="N413">
        <v>1139</v>
      </c>
      <c r="O413">
        <v>1377</v>
      </c>
      <c r="P413" s="3" t="str" cm="1">
        <f t="array" ref="P413">_xlfn.XLOOKUP(A413&amp;B413,'[1]Daily Sleep'!$A$2:$A$468&amp;'[1]Daily Sleep'!$B$2:$B$468,'[1]Daily Sleep'!$D$2:$D$468,"")</f>
        <v/>
      </c>
      <c r="Q413" t="str">
        <f t="shared" si="12"/>
        <v>Monday</v>
      </c>
      <c r="R413" t="str">
        <f t="shared" si="13"/>
        <v>Weekday</v>
      </c>
    </row>
    <row r="414" spans="1:18" x14ac:dyDescent="0.35">
      <c r="A414">
        <v>8253242879</v>
      </c>
      <c r="B414" s="1">
        <v>42472</v>
      </c>
      <c r="C414">
        <v>0</v>
      </c>
      <c r="D414">
        <v>0</v>
      </c>
      <c r="E414">
        <v>0</v>
      </c>
      <c r="F414">
        <v>0</v>
      </c>
      <c r="G414">
        <v>0</v>
      </c>
      <c r="H414">
        <v>0</v>
      </c>
      <c r="I414">
        <v>0</v>
      </c>
      <c r="J414">
        <v>0</v>
      </c>
      <c r="K414">
        <v>0</v>
      </c>
      <c r="L414">
        <v>0</v>
      </c>
      <c r="M414">
        <v>0</v>
      </c>
      <c r="N414">
        <v>1440</v>
      </c>
      <c r="O414">
        <v>0</v>
      </c>
      <c r="P414" s="3" t="str" cm="1">
        <f t="array" ref="P414">_xlfn.XLOOKUP(A414&amp;B414,'[1]Daily Sleep'!$A$2:$A$468&amp;'[1]Daily Sleep'!$B$2:$B$468,'[1]Daily Sleep'!$D$2:$D$468,"")</f>
        <v/>
      </c>
      <c r="Q414" t="str">
        <f t="shared" si="12"/>
        <v>Tuesday</v>
      </c>
      <c r="R414" t="str">
        <f t="shared" si="13"/>
        <v>Weekend</v>
      </c>
    </row>
    <row r="415" spans="1:18" x14ac:dyDescent="0.35">
      <c r="A415">
        <v>8378563200</v>
      </c>
      <c r="B415" s="1">
        <v>42461</v>
      </c>
      <c r="C415">
        <v>14179</v>
      </c>
      <c r="D415">
        <v>11.2399997711182</v>
      </c>
      <c r="E415">
        <v>11.2399997711182</v>
      </c>
      <c r="F415">
        <v>0</v>
      </c>
      <c r="G415">
        <v>6.2300000190734899</v>
      </c>
      <c r="H415">
        <v>1.0599999427795399</v>
      </c>
      <c r="I415">
        <v>3.96000003814697</v>
      </c>
      <c r="J415">
        <v>0</v>
      </c>
      <c r="K415">
        <v>73</v>
      </c>
      <c r="L415">
        <v>21</v>
      </c>
      <c r="M415">
        <v>195</v>
      </c>
      <c r="N415">
        <v>719</v>
      </c>
      <c r="O415">
        <v>3669</v>
      </c>
      <c r="P415" s="3" cm="1">
        <f t="array" ref="P415">_xlfn.XLOOKUP(A415&amp;B415,'[1]Daily Sleep'!$A$2:$A$468&amp;'[1]Daily Sleep'!$B$2:$B$468,'[1]Daily Sleep'!$D$2:$D$468,"")</f>
        <v>6.8</v>
      </c>
      <c r="Q415" t="str">
        <f t="shared" si="12"/>
        <v>Friday</v>
      </c>
      <c r="R415" t="str">
        <f t="shared" si="13"/>
        <v>Weekend</v>
      </c>
    </row>
    <row r="416" spans="1:18" x14ac:dyDescent="0.35">
      <c r="A416">
        <v>8378563200</v>
      </c>
      <c r="B416" s="1">
        <v>42462</v>
      </c>
      <c r="C416">
        <v>3358</v>
      </c>
      <c r="D416">
        <v>2.6600000858306898</v>
      </c>
      <c r="E416">
        <v>2.6600000858306898</v>
      </c>
      <c r="F416">
        <v>0</v>
      </c>
      <c r="G416">
        <v>0</v>
      </c>
      <c r="H416">
        <v>0</v>
      </c>
      <c r="I416">
        <v>2.6600000858306898</v>
      </c>
      <c r="J416">
        <v>0</v>
      </c>
      <c r="K416">
        <v>0</v>
      </c>
      <c r="L416">
        <v>0</v>
      </c>
      <c r="M416">
        <v>144</v>
      </c>
      <c r="N416">
        <v>657</v>
      </c>
      <c r="O416">
        <v>2702</v>
      </c>
      <c r="P416" s="3" cm="1">
        <f t="array" ref="P416">_xlfn.XLOOKUP(A416&amp;B416,'[1]Daily Sleep'!$A$2:$A$468&amp;'[1]Daily Sleep'!$B$2:$B$468,'[1]Daily Sleep'!$D$2:$D$468,"")</f>
        <v>9.6999999999999993</v>
      </c>
      <c r="Q416" t="str">
        <f t="shared" si="12"/>
        <v>Saturday</v>
      </c>
      <c r="R416" t="str">
        <f t="shared" si="13"/>
        <v>Weekday</v>
      </c>
    </row>
    <row r="417" spans="1:18" x14ac:dyDescent="0.35">
      <c r="A417">
        <v>8378563200</v>
      </c>
      <c r="B417" s="1">
        <v>42463</v>
      </c>
      <c r="C417">
        <v>9152</v>
      </c>
      <c r="D417">
        <v>7.2600002288818404</v>
      </c>
      <c r="E417">
        <v>7.2600002288818404</v>
      </c>
      <c r="F417">
        <v>0</v>
      </c>
      <c r="G417">
        <v>1.9900000095367401</v>
      </c>
      <c r="H417">
        <v>0.81999999284744296</v>
      </c>
      <c r="I417">
        <v>4.4499998092651403</v>
      </c>
      <c r="J417">
        <v>0</v>
      </c>
      <c r="K417">
        <v>25</v>
      </c>
      <c r="L417">
        <v>13</v>
      </c>
      <c r="M417">
        <v>243</v>
      </c>
      <c r="N417">
        <v>600</v>
      </c>
      <c r="O417">
        <v>3304</v>
      </c>
      <c r="P417" s="3" cm="1">
        <f t="array" ref="P417">_xlfn.XLOOKUP(A417&amp;B417,'[1]Daily Sleep'!$A$2:$A$468&amp;'[1]Daily Sleep'!$B$2:$B$468,'[1]Daily Sleep'!$D$2:$D$468,"")</f>
        <v>8.8166666666666664</v>
      </c>
      <c r="Q417" t="str">
        <f t="shared" si="12"/>
        <v>Sunday</v>
      </c>
      <c r="R417" t="str">
        <f t="shared" si="13"/>
        <v>Weekday</v>
      </c>
    </row>
    <row r="418" spans="1:18" x14ac:dyDescent="0.35">
      <c r="A418">
        <v>8378563200</v>
      </c>
      <c r="B418" s="1">
        <v>42464</v>
      </c>
      <c r="C418">
        <v>13935</v>
      </c>
      <c r="D418">
        <v>11.050000190734901</v>
      </c>
      <c r="E418">
        <v>11.050000190734901</v>
      </c>
      <c r="F418">
        <v>2.0921471118927002</v>
      </c>
      <c r="G418">
        <v>4.0900001525878897</v>
      </c>
      <c r="H418">
        <v>0.79000002145767201</v>
      </c>
      <c r="I418">
        <v>6.1700000762939498</v>
      </c>
      <c r="J418">
        <v>0</v>
      </c>
      <c r="K418">
        <v>105</v>
      </c>
      <c r="L418">
        <v>16</v>
      </c>
      <c r="M418">
        <v>220</v>
      </c>
      <c r="N418">
        <v>658</v>
      </c>
      <c r="O418">
        <v>4234</v>
      </c>
      <c r="P418" s="3" cm="1">
        <f t="array" ref="P418">_xlfn.XLOOKUP(A418&amp;B418,'[1]Daily Sleep'!$A$2:$A$468&amp;'[1]Daily Sleep'!$B$2:$B$468,'[1]Daily Sleep'!$D$2:$D$468,"")</f>
        <v>6.95</v>
      </c>
      <c r="Q418" t="str">
        <f t="shared" si="12"/>
        <v>Monday</v>
      </c>
      <c r="R418" t="str">
        <f t="shared" si="13"/>
        <v>Weekday</v>
      </c>
    </row>
    <row r="419" spans="1:18" x14ac:dyDescent="0.35">
      <c r="A419">
        <v>8378563200</v>
      </c>
      <c r="B419" s="1">
        <v>42465</v>
      </c>
      <c r="C419">
        <v>12846</v>
      </c>
      <c r="D419">
        <v>10.189999580383301</v>
      </c>
      <c r="E419">
        <v>10.189999580383301</v>
      </c>
      <c r="F419">
        <v>2.2530810832977299</v>
      </c>
      <c r="G419">
        <v>5</v>
      </c>
      <c r="H419">
        <v>0.75</v>
      </c>
      <c r="I419">
        <v>4.4400000572204599</v>
      </c>
      <c r="J419">
        <v>0</v>
      </c>
      <c r="K419">
        <v>113</v>
      </c>
      <c r="L419">
        <v>15</v>
      </c>
      <c r="M419">
        <v>189</v>
      </c>
      <c r="N419">
        <v>686</v>
      </c>
      <c r="O419">
        <v>4128</v>
      </c>
      <c r="P419" s="3" cm="1">
        <f t="array" ref="P419">_xlfn.XLOOKUP(A419&amp;B419,'[1]Daily Sleep'!$A$2:$A$468&amp;'[1]Daily Sleep'!$B$2:$B$468,'[1]Daily Sleep'!$D$2:$D$468,"")</f>
        <v>6.9</v>
      </c>
      <c r="Q419" t="str">
        <f t="shared" si="12"/>
        <v>Tuesday</v>
      </c>
      <c r="R419" t="str">
        <f t="shared" si="13"/>
        <v>Weekday</v>
      </c>
    </row>
    <row r="420" spans="1:18" x14ac:dyDescent="0.35">
      <c r="A420">
        <v>8378563200</v>
      </c>
      <c r="B420" s="1">
        <v>42466</v>
      </c>
      <c r="C420">
        <v>9124</v>
      </c>
      <c r="D420">
        <v>7.2399997711181596</v>
      </c>
      <c r="E420">
        <v>7.2399997711181596</v>
      </c>
      <c r="F420">
        <v>2.0921471118927002</v>
      </c>
      <c r="G420">
        <v>0</v>
      </c>
      <c r="H420">
        <v>0.25</v>
      </c>
      <c r="I420">
        <v>6.9899997711181596</v>
      </c>
      <c r="J420">
        <v>0</v>
      </c>
      <c r="K420">
        <v>55</v>
      </c>
      <c r="L420">
        <v>6</v>
      </c>
      <c r="M420">
        <v>230</v>
      </c>
      <c r="N420">
        <v>728</v>
      </c>
      <c r="O420">
        <v>3798</v>
      </c>
      <c r="P420" s="3" cm="1">
        <f t="array" ref="P420">_xlfn.XLOOKUP(A420&amp;B420,'[1]Daily Sleep'!$A$2:$A$468&amp;'[1]Daily Sleep'!$B$2:$B$468,'[1]Daily Sleep'!$D$2:$D$468,"")</f>
        <v>6.7166666666666668</v>
      </c>
      <c r="Q420" t="str">
        <f t="shared" si="12"/>
        <v>Wednesday</v>
      </c>
      <c r="R420" t="str">
        <f t="shared" si="13"/>
        <v>Weekday</v>
      </c>
    </row>
    <row r="421" spans="1:18" x14ac:dyDescent="0.35">
      <c r="A421">
        <v>8378563200</v>
      </c>
      <c r="B421" s="1">
        <v>42467</v>
      </c>
      <c r="C421">
        <v>9725</v>
      </c>
      <c r="D421">
        <v>7.71000003814697</v>
      </c>
      <c r="E421">
        <v>7.71000003814697</v>
      </c>
      <c r="F421">
        <v>2.2530810832977299</v>
      </c>
      <c r="G421">
        <v>2.4100000858306898</v>
      </c>
      <c r="H421">
        <v>0.52999997138977095</v>
      </c>
      <c r="I421">
        <v>4.7699999809265101</v>
      </c>
      <c r="J421">
        <v>0</v>
      </c>
      <c r="K421">
        <v>83</v>
      </c>
      <c r="L421">
        <v>11</v>
      </c>
      <c r="M421">
        <v>181</v>
      </c>
      <c r="N421">
        <v>670</v>
      </c>
      <c r="O421">
        <v>3839</v>
      </c>
      <c r="P421" s="3" cm="1">
        <f t="array" ref="P421">_xlfn.XLOOKUP(A421&amp;B421,'[1]Daily Sleep'!$A$2:$A$468&amp;'[1]Daily Sleep'!$B$2:$B$468,'[1]Daily Sleep'!$D$2:$D$468,"")</f>
        <v>7.6333333333333337</v>
      </c>
      <c r="Q421" t="str">
        <f t="shared" si="12"/>
        <v>Thursday</v>
      </c>
      <c r="R421" t="str">
        <f t="shared" si="13"/>
        <v>Weekend</v>
      </c>
    </row>
    <row r="422" spans="1:18" x14ac:dyDescent="0.35">
      <c r="A422">
        <v>8378563200</v>
      </c>
      <c r="B422" s="1">
        <v>42468</v>
      </c>
      <c r="C422">
        <v>8350</v>
      </c>
      <c r="D422">
        <v>6.6199998855590803</v>
      </c>
      <c r="E422">
        <v>6.6199998855590803</v>
      </c>
      <c r="F422">
        <v>2.0921471118927002</v>
      </c>
      <c r="G422">
        <v>1.4900000095367401</v>
      </c>
      <c r="H422">
        <v>0.52999997138977095</v>
      </c>
      <c r="I422">
        <v>4.6100001335143999</v>
      </c>
      <c r="J422">
        <v>0</v>
      </c>
      <c r="K422">
        <v>72</v>
      </c>
      <c r="L422">
        <v>10</v>
      </c>
      <c r="M422">
        <v>167</v>
      </c>
      <c r="N422">
        <v>868</v>
      </c>
      <c r="O422">
        <v>3713</v>
      </c>
      <c r="P422" s="3" cm="1">
        <f t="array" ref="P422">_xlfn.XLOOKUP(A422&amp;B422,'[1]Daily Sleep'!$A$2:$A$468&amp;'[1]Daily Sleep'!$B$2:$B$468,'[1]Daily Sleep'!$D$2:$D$468,"")</f>
        <v>5.0333333333333332</v>
      </c>
      <c r="Q422" t="str">
        <f t="shared" si="12"/>
        <v>Friday</v>
      </c>
      <c r="R422" t="str">
        <f t="shared" si="13"/>
        <v>Weekend</v>
      </c>
    </row>
    <row r="423" spans="1:18" x14ac:dyDescent="0.35">
      <c r="A423">
        <v>8378563200</v>
      </c>
      <c r="B423" s="1">
        <v>42469</v>
      </c>
      <c r="C423">
        <v>2240</v>
      </c>
      <c r="D423">
        <v>1.7799999713897701</v>
      </c>
      <c r="E423">
        <v>1.7799999713897701</v>
      </c>
      <c r="F423">
        <v>0</v>
      </c>
      <c r="G423">
        <v>0</v>
      </c>
      <c r="H423">
        <v>0</v>
      </c>
      <c r="I423">
        <v>1.7799999713897701</v>
      </c>
      <c r="J423">
        <v>0</v>
      </c>
      <c r="K423">
        <v>0</v>
      </c>
      <c r="L423">
        <v>0</v>
      </c>
      <c r="M423">
        <v>110</v>
      </c>
      <c r="N423">
        <v>843</v>
      </c>
      <c r="O423">
        <v>2606</v>
      </c>
      <c r="P423" s="3" cm="1">
        <f t="array" ref="P423">_xlfn.XLOOKUP(A423&amp;B423,'[1]Daily Sleep'!$A$2:$A$468&amp;'[1]Daily Sleep'!$B$2:$B$468,'[1]Daily Sleep'!$D$2:$D$468,"")</f>
        <v>6.75</v>
      </c>
      <c r="Q423" t="str">
        <f t="shared" si="12"/>
        <v>Saturday</v>
      </c>
      <c r="R423" t="str">
        <f t="shared" si="13"/>
        <v>Weekday</v>
      </c>
    </row>
    <row r="424" spans="1:18" x14ac:dyDescent="0.35">
      <c r="A424">
        <v>8378563200</v>
      </c>
      <c r="B424" s="1">
        <v>42470</v>
      </c>
      <c r="C424">
        <v>2631</v>
      </c>
      <c r="D424">
        <v>2.0899999141693102</v>
      </c>
      <c r="E424">
        <v>2.0899999141693102</v>
      </c>
      <c r="F424">
        <v>0</v>
      </c>
      <c r="G424">
        <v>0</v>
      </c>
      <c r="H424">
        <v>0</v>
      </c>
      <c r="I424">
        <v>2.0899999141693102</v>
      </c>
      <c r="J424">
        <v>0</v>
      </c>
      <c r="K424">
        <v>0</v>
      </c>
      <c r="L424">
        <v>0</v>
      </c>
      <c r="M424">
        <v>117</v>
      </c>
      <c r="N424">
        <v>727</v>
      </c>
      <c r="O424">
        <v>2624</v>
      </c>
      <c r="P424" s="3" cm="1">
        <f t="array" ref="P424">_xlfn.XLOOKUP(A424&amp;B424,'[1]Daily Sleep'!$A$2:$A$468&amp;'[1]Daily Sleep'!$B$2:$B$468,'[1]Daily Sleep'!$D$2:$D$468,"")</f>
        <v>9.4666666666666668</v>
      </c>
      <c r="Q424" t="str">
        <f t="shared" si="12"/>
        <v>Sunday</v>
      </c>
      <c r="R424" t="str">
        <f t="shared" si="13"/>
        <v>Weekday</v>
      </c>
    </row>
    <row r="425" spans="1:18" x14ac:dyDescent="0.35">
      <c r="A425">
        <v>8378563200</v>
      </c>
      <c r="B425" s="1">
        <v>42471</v>
      </c>
      <c r="C425">
        <v>8837</v>
      </c>
      <c r="D425">
        <v>7.0100002288818404</v>
      </c>
      <c r="E425">
        <v>7.0100002288818404</v>
      </c>
      <c r="F425">
        <v>2.0921471118927002</v>
      </c>
      <c r="G425">
        <v>1.53999996185303</v>
      </c>
      <c r="H425">
        <v>0.87999999523162797</v>
      </c>
      <c r="I425">
        <v>4.5900001525878897</v>
      </c>
      <c r="J425">
        <v>0</v>
      </c>
      <c r="K425">
        <v>74</v>
      </c>
      <c r="L425">
        <v>17</v>
      </c>
      <c r="M425">
        <v>182</v>
      </c>
      <c r="N425">
        <v>811</v>
      </c>
      <c r="O425">
        <v>3775</v>
      </c>
      <c r="P425" s="3" cm="1">
        <f t="array" ref="P425">_xlfn.XLOOKUP(A425&amp;B425,'[1]Daily Sleep'!$A$2:$A$468&amp;'[1]Daily Sleep'!$B$2:$B$468,'[1]Daily Sleep'!$D$2:$D$468,"")</f>
        <v>5.5</v>
      </c>
      <c r="Q425" t="str">
        <f t="shared" si="12"/>
        <v>Monday</v>
      </c>
      <c r="R425" t="str">
        <f t="shared" si="13"/>
        <v>Weekday</v>
      </c>
    </row>
    <row r="426" spans="1:18" x14ac:dyDescent="0.35">
      <c r="A426">
        <v>8378563200</v>
      </c>
      <c r="B426" s="1">
        <v>42472</v>
      </c>
      <c r="C426">
        <v>3246</v>
      </c>
      <c r="D426">
        <v>2.5699999332428001</v>
      </c>
      <c r="E426">
        <v>2.5699999332428001</v>
      </c>
      <c r="F426">
        <v>2.2530810832977299</v>
      </c>
      <c r="G426">
        <v>0.82999998331069902</v>
      </c>
      <c r="H426">
        <v>0.70999997854232799</v>
      </c>
      <c r="I426">
        <v>1.0299999713897701</v>
      </c>
      <c r="J426">
        <v>0</v>
      </c>
      <c r="K426">
        <v>65</v>
      </c>
      <c r="L426">
        <v>15</v>
      </c>
      <c r="M426">
        <v>49</v>
      </c>
      <c r="N426">
        <v>243</v>
      </c>
      <c r="O426">
        <v>1882</v>
      </c>
      <c r="P426" s="3" cm="1">
        <f t="array" ref="P426">_xlfn.XLOOKUP(A426&amp;B426,'[1]Daily Sleep'!$A$2:$A$468&amp;'[1]Daily Sleep'!$B$2:$B$468,'[1]Daily Sleep'!$D$2:$D$468,"")</f>
        <v>4.1166666666666663</v>
      </c>
      <c r="Q426" t="str">
        <f t="shared" si="12"/>
        <v>Tuesday</v>
      </c>
      <c r="R426" t="str">
        <f t="shared" si="13"/>
        <v>Weekend</v>
      </c>
    </row>
    <row r="427" spans="1:18" x14ac:dyDescent="0.35">
      <c r="A427">
        <v>8583815059</v>
      </c>
      <c r="B427" s="1">
        <v>42461</v>
      </c>
      <c r="C427">
        <v>2174</v>
      </c>
      <c r="D427">
        <v>1.70000004768372</v>
      </c>
      <c r="E427">
        <v>1.70000004768372</v>
      </c>
      <c r="F427">
        <v>0</v>
      </c>
      <c r="G427">
        <v>0</v>
      </c>
      <c r="H427">
        <v>0</v>
      </c>
      <c r="I427">
        <v>1.70000004768372</v>
      </c>
      <c r="J427">
        <v>0</v>
      </c>
      <c r="K427">
        <v>0</v>
      </c>
      <c r="L427">
        <v>0</v>
      </c>
      <c r="M427">
        <v>112</v>
      </c>
      <c r="N427">
        <v>1328</v>
      </c>
      <c r="O427">
        <v>2360</v>
      </c>
      <c r="P427" s="3" t="str" cm="1">
        <f t="array" ref="P427">_xlfn.XLOOKUP(A427&amp;B427,'[1]Daily Sleep'!$A$2:$A$468&amp;'[1]Daily Sleep'!$B$2:$B$468,'[1]Daily Sleep'!$D$2:$D$468,"")</f>
        <v/>
      </c>
      <c r="Q427" t="str">
        <f t="shared" si="12"/>
        <v>Friday</v>
      </c>
      <c r="R427" t="str">
        <f t="shared" si="13"/>
        <v>Weekend</v>
      </c>
    </row>
    <row r="428" spans="1:18" x14ac:dyDescent="0.35">
      <c r="A428">
        <v>8583815059</v>
      </c>
      <c r="B428" s="1">
        <v>42462</v>
      </c>
      <c r="C428">
        <v>3494</v>
      </c>
      <c r="D428">
        <v>2.7300000190734899</v>
      </c>
      <c r="E428">
        <v>2.7300000190734899</v>
      </c>
      <c r="F428">
        <v>0</v>
      </c>
      <c r="G428">
        <v>0</v>
      </c>
      <c r="H428">
        <v>0</v>
      </c>
      <c r="I428">
        <v>2.6900000572204599</v>
      </c>
      <c r="J428">
        <v>0</v>
      </c>
      <c r="K428">
        <v>0</v>
      </c>
      <c r="L428">
        <v>0</v>
      </c>
      <c r="M428">
        <v>166</v>
      </c>
      <c r="N428">
        <v>1274</v>
      </c>
      <c r="O428">
        <v>2517</v>
      </c>
      <c r="P428" s="3" t="str" cm="1">
        <f t="array" ref="P428">_xlfn.XLOOKUP(A428&amp;B428,'[1]Daily Sleep'!$A$2:$A$468&amp;'[1]Daily Sleep'!$B$2:$B$468,'[1]Daily Sleep'!$D$2:$D$468,"")</f>
        <v/>
      </c>
      <c r="Q428" t="str">
        <f t="shared" si="12"/>
        <v>Saturday</v>
      </c>
      <c r="R428" t="str">
        <f t="shared" si="13"/>
        <v>Weekday</v>
      </c>
    </row>
    <row r="429" spans="1:18" x14ac:dyDescent="0.35">
      <c r="A429">
        <v>8583815059</v>
      </c>
      <c r="B429" s="1">
        <v>42463</v>
      </c>
      <c r="C429">
        <v>2380</v>
      </c>
      <c r="D429">
        <v>1.8600000143051101</v>
      </c>
      <c r="E429">
        <v>1.8600000143051101</v>
      </c>
      <c r="F429">
        <v>0</v>
      </c>
      <c r="G429">
        <v>0</v>
      </c>
      <c r="H429">
        <v>0</v>
      </c>
      <c r="I429">
        <v>1.8600000143051101</v>
      </c>
      <c r="J429">
        <v>0</v>
      </c>
      <c r="K429">
        <v>0</v>
      </c>
      <c r="L429">
        <v>0</v>
      </c>
      <c r="M429">
        <v>131</v>
      </c>
      <c r="N429">
        <v>1309</v>
      </c>
      <c r="O429">
        <v>2400</v>
      </c>
      <c r="P429" s="3" t="str" cm="1">
        <f t="array" ref="P429">_xlfn.XLOOKUP(A429&amp;B429,'[1]Daily Sleep'!$A$2:$A$468&amp;'[1]Daily Sleep'!$B$2:$B$468,'[1]Daily Sleep'!$D$2:$D$468,"")</f>
        <v/>
      </c>
      <c r="Q429" t="str">
        <f t="shared" si="12"/>
        <v>Sunday</v>
      </c>
      <c r="R429" t="str">
        <f t="shared" si="13"/>
        <v>Weekday</v>
      </c>
    </row>
    <row r="430" spans="1:18" x14ac:dyDescent="0.35">
      <c r="A430">
        <v>8583815059</v>
      </c>
      <c r="B430" s="1">
        <v>42464</v>
      </c>
      <c r="C430">
        <v>3159</v>
      </c>
      <c r="D430">
        <v>2.46000003814697</v>
      </c>
      <c r="E430">
        <v>2.46000003814697</v>
      </c>
      <c r="F430">
        <v>0</v>
      </c>
      <c r="G430">
        <v>0</v>
      </c>
      <c r="H430">
        <v>0</v>
      </c>
      <c r="I430">
        <v>2.46000003814697</v>
      </c>
      <c r="J430">
        <v>0</v>
      </c>
      <c r="K430">
        <v>0</v>
      </c>
      <c r="L430">
        <v>0</v>
      </c>
      <c r="M430">
        <v>147</v>
      </c>
      <c r="N430">
        <v>1293</v>
      </c>
      <c r="O430">
        <v>2462</v>
      </c>
      <c r="P430" s="3" t="str" cm="1">
        <f t="array" ref="P430">_xlfn.XLOOKUP(A430&amp;B430,'[1]Daily Sleep'!$A$2:$A$468&amp;'[1]Daily Sleep'!$B$2:$B$468,'[1]Daily Sleep'!$D$2:$D$468,"")</f>
        <v/>
      </c>
      <c r="Q430" t="str">
        <f t="shared" si="12"/>
        <v>Monday</v>
      </c>
      <c r="R430" t="str">
        <f t="shared" si="13"/>
        <v>Weekday</v>
      </c>
    </row>
    <row r="431" spans="1:18" x14ac:dyDescent="0.35">
      <c r="A431">
        <v>8583815059</v>
      </c>
      <c r="B431" s="1">
        <v>42465</v>
      </c>
      <c r="C431">
        <v>6835</v>
      </c>
      <c r="D431">
        <v>5.3299999237060502</v>
      </c>
      <c r="E431">
        <v>5.3299999237060502</v>
      </c>
      <c r="F431">
        <v>0</v>
      </c>
      <c r="G431">
        <v>0.37000000476837203</v>
      </c>
      <c r="H431">
        <v>0.730000019073486</v>
      </c>
      <c r="I431">
        <v>4.2399997711181596</v>
      </c>
      <c r="J431">
        <v>0</v>
      </c>
      <c r="K431">
        <v>5</v>
      </c>
      <c r="L431">
        <v>15</v>
      </c>
      <c r="M431">
        <v>212</v>
      </c>
      <c r="N431">
        <v>1208</v>
      </c>
      <c r="O431">
        <v>2786</v>
      </c>
      <c r="P431" s="3" t="str" cm="1">
        <f t="array" ref="P431">_xlfn.XLOOKUP(A431&amp;B431,'[1]Daily Sleep'!$A$2:$A$468&amp;'[1]Daily Sleep'!$B$2:$B$468,'[1]Daily Sleep'!$D$2:$D$468,"")</f>
        <v/>
      </c>
      <c r="Q431" t="str">
        <f t="shared" si="12"/>
        <v>Tuesday</v>
      </c>
      <c r="R431" t="str">
        <f t="shared" si="13"/>
        <v>Weekday</v>
      </c>
    </row>
    <row r="432" spans="1:18" x14ac:dyDescent="0.35">
      <c r="A432">
        <v>8583815059</v>
      </c>
      <c r="B432" s="1">
        <v>42466</v>
      </c>
      <c r="C432">
        <v>2098</v>
      </c>
      <c r="D432">
        <v>1.6399999856948899</v>
      </c>
      <c r="E432">
        <v>1.6399999856948899</v>
      </c>
      <c r="F432">
        <v>0</v>
      </c>
      <c r="G432">
        <v>0</v>
      </c>
      <c r="H432">
        <v>0</v>
      </c>
      <c r="I432">
        <v>1.62999999523163</v>
      </c>
      <c r="J432">
        <v>0</v>
      </c>
      <c r="K432">
        <v>0</v>
      </c>
      <c r="L432">
        <v>0</v>
      </c>
      <c r="M432">
        <v>112</v>
      </c>
      <c r="N432">
        <v>1328</v>
      </c>
      <c r="O432">
        <v>2354</v>
      </c>
      <c r="P432" s="3" t="str" cm="1">
        <f t="array" ref="P432">_xlfn.XLOOKUP(A432&amp;B432,'[1]Daily Sleep'!$A$2:$A$468&amp;'[1]Daily Sleep'!$B$2:$B$468,'[1]Daily Sleep'!$D$2:$D$468,"")</f>
        <v/>
      </c>
      <c r="Q432" t="str">
        <f t="shared" si="12"/>
        <v>Wednesday</v>
      </c>
      <c r="R432" t="str">
        <f t="shared" si="13"/>
        <v>Weekday</v>
      </c>
    </row>
    <row r="433" spans="1:18" x14ac:dyDescent="0.35">
      <c r="A433">
        <v>8583815059</v>
      </c>
      <c r="B433" s="1">
        <v>42467</v>
      </c>
      <c r="C433">
        <v>2816</v>
      </c>
      <c r="D433">
        <v>2.2000000476837198</v>
      </c>
      <c r="E433">
        <v>2.2000000476837198</v>
      </c>
      <c r="F433">
        <v>0</v>
      </c>
      <c r="G433">
        <v>0</v>
      </c>
      <c r="H433">
        <v>0</v>
      </c>
      <c r="I433">
        <v>2.2000000476837198</v>
      </c>
      <c r="J433">
        <v>0</v>
      </c>
      <c r="K433">
        <v>0</v>
      </c>
      <c r="L433">
        <v>0</v>
      </c>
      <c r="M433">
        <v>138</v>
      </c>
      <c r="N433">
        <v>1302</v>
      </c>
      <c r="O433">
        <v>2437</v>
      </c>
      <c r="P433" s="3" t="str" cm="1">
        <f t="array" ref="P433">_xlfn.XLOOKUP(A433&amp;B433,'[1]Daily Sleep'!$A$2:$A$468&amp;'[1]Daily Sleep'!$B$2:$B$468,'[1]Daily Sleep'!$D$2:$D$468,"")</f>
        <v/>
      </c>
      <c r="Q433" t="str">
        <f t="shared" si="12"/>
        <v>Thursday</v>
      </c>
      <c r="R433" t="str">
        <f t="shared" si="13"/>
        <v>Weekend</v>
      </c>
    </row>
    <row r="434" spans="1:18" x14ac:dyDescent="0.35">
      <c r="A434">
        <v>8583815059</v>
      </c>
      <c r="B434" s="1">
        <v>42468</v>
      </c>
      <c r="C434">
        <v>1408</v>
      </c>
      <c r="D434">
        <v>1.1000000238418599</v>
      </c>
      <c r="E434">
        <v>1.1000000238418599</v>
      </c>
      <c r="F434">
        <v>0</v>
      </c>
      <c r="G434">
        <v>0</v>
      </c>
      <c r="H434">
        <v>0</v>
      </c>
      <c r="I434">
        <v>1.1000000238418599</v>
      </c>
      <c r="J434">
        <v>0</v>
      </c>
      <c r="K434">
        <v>0</v>
      </c>
      <c r="L434">
        <v>0</v>
      </c>
      <c r="M434">
        <v>79</v>
      </c>
      <c r="N434">
        <v>1052</v>
      </c>
      <c r="O434">
        <v>1814</v>
      </c>
      <c r="P434" s="3" t="str" cm="1">
        <f t="array" ref="P434">_xlfn.XLOOKUP(A434&amp;B434,'[1]Daily Sleep'!$A$2:$A$468&amp;'[1]Daily Sleep'!$B$2:$B$468,'[1]Daily Sleep'!$D$2:$D$468,"")</f>
        <v/>
      </c>
      <c r="Q434" t="str">
        <f t="shared" si="12"/>
        <v>Friday</v>
      </c>
      <c r="R434" t="str">
        <f t="shared" si="13"/>
        <v>Weekend</v>
      </c>
    </row>
    <row r="435" spans="1:18" x14ac:dyDescent="0.35">
      <c r="A435">
        <v>8792009665</v>
      </c>
      <c r="B435" s="1">
        <v>42461</v>
      </c>
      <c r="C435">
        <v>4592</v>
      </c>
      <c r="D435">
        <v>2.9400000572204599</v>
      </c>
      <c r="E435">
        <v>2.9400000572204599</v>
      </c>
      <c r="F435">
        <v>0</v>
      </c>
      <c r="G435">
        <v>0.10000000149011599</v>
      </c>
      <c r="H435">
        <v>0.140000000596046</v>
      </c>
      <c r="I435">
        <v>2.7000000476837198</v>
      </c>
      <c r="J435">
        <v>0</v>
      </c>
      <c r="K435">
        <v>4</v>
      </c>
      <c r="L435">
        <v>8</v>
      </c>
      <c r="M435">
        <v>176</v>
      </c>
      <c r="N435">
        <v>748</v>
      </c>
      <c r="O435">
        <v>2260</v>
      </c>
      <c r="P435" s="3" cm="1">
        <f t="array" ref="P435">_xlfn.XLOOKUP(A435&amp;B435,'[1]Daily Sleep'!$A$2:$A$468&amp;'[1]Daily Sleep'!$B$2:$B$468,'[1]Daily Sleep'!$D$2:$D$468,"")</f>
        <v>8</v>
      </c>
      <c r="Q435" t="str">
        <f t="shared" si="12"/>
        <v>Friday</v>
      </c>
      <c r="R435" t="str">
        <f t="shared" si="13"/>
        <v>Weekend</v>
      </c>
    </row>
    <row r="436" spans="1:18" x14ac:dyDescent="0.35">
      <c r="A436">
        <v>8792009665</v>
      </c>
      <c r="B436" s="1">
        <v>42462</v>
      </c>
      <c r="C436">
        <v>8452</v>
      </c>
      <c r="D436">
        <v>5.4099998474121103</v>
      </c>
      <c r="E436">
        <v>5.4099998474121103</v>
      </c>
      <c r="F436">
        <v>0</v>
      </c>
      <c r="G436">
        <v>0.259999990463257</v>
      </c>
      <c r="H436">
        <v>0.38999998569488498</v>
      </c>
      <c r="I436">
        <v>4.7600002288818404</v>
      </c>
      <c r="J436">
        <v>0</v>
      </c>
      <c r="K436">
        <v>9</v>
      </c>
      <c r="L436">
        <v>24</v>
      </c>
      <c r="M436">
        <v>328</v>
      </c>
      <c r="N436">
        <v>1079</v>
      </c>
      <c r="O436">
        <v>3004</v>
      </c>
      <c r="P436" s="3" t="str" cm="1">
        <f t="array" ref="P436">_xlfn.XLOOKUP(A436&amp;B436,'[1]Daily Sleep'!$A$2:$A$468&amp;'[1]Daily Sleep'!$B$2:$B$468,'[1]Daily Sleep'!$D$2:$D$468,"")</f>
        <v/>
      </c>
      <c r="Q436" t="str">
        <f t="shared" si="12"/>
        <v>Saturday</v>
      </c>
      <c r="R436" t="str">
        <f t="shared" si="13"/>
        <v>Weekday</v>
      </c>
    </row>
    <row r="437" spans="1:18" x14ac:dyDescent="0.35">
      <c r="A437">
        <v>8792009665</v>
      </c>
      <c r="B437" s="1">
        <v>42463</v>
      </c>
      <c r="C437">
        <v>7238</v>
      </c>
      <c r="D437">
        <v>4.6300001144409197</v>
      </c>
      <c r="E437">
        <v>4.6300001144409197</v>
      </c>
      <c r="F437">
        <v>0</v>
      </c>
      <c r="G437">
        <v>0.109999999403954</v>
      </c>
      <c r="H437">
        <v>0.230000004172325</v>
      </c>
      <c r="I437">
        <v>4.28999996185303</v>
      </c>
      <c r="J437">
        <v>0</v>
      </c>
      <c r="K437">
        <v>2</v>
      </c>
      <c r="L437">
        <v>6</v>
      </c>
      <c r="M437">
        <v>279</v>
      </c>
      <c r="N437">
        <v>636</v>
      </c>
      <c r="O437">
        <v>2667</v>
      </c>
      <c r="P437" s="3" cm="1">
        <f t="array" ref="P437">_xlfn.XLOOKUP(A437&amp;B437,'[1]Daily Sleep'!$A$2:$A$468&amp;'[1]Daily Sleep'!$B$2:$B$468,'[1]Daily Sleep'!$D$2:$D$468,"")</f>
        <v>7.9833333333333334</v>
      </c>
      <c r="Q437" t="str">
        <f t="shared" si="12"/>
        <v>Sunday</v>
      </c>
      <c r="R437" t="str">
        <f t="shared" si="13"/>
        <v>Weekday</v>
      </c>
    </row>
    <row r="438" spans="1:18" x14ac:dyDescent="0.35">
      <c r="A438">
        <v>8792009665</v>
      </c>
      <c r="B438" s="1">
        <v>42464</v>
      </c>
      <c r="C438">
        <v>3821</v>
      </c>
      <c r="D438">
        <v>2.4500000476837198</v>
      </c>
      <c r="E438">
        <v>2.4500000476837198</v>
      </c>
      <c r="F438">
        <v>0</v>
      </c>
      <c r="G438">
        <v>0</v>
      </c>
      <c r="H438">
        <v>0.21999999880790699</v>
      </c>
      <c r="I438">
        <v>2.2300000190734899</v>
      </c>
      <c r="J438">
        <v>0</v>
      </c>
      <c r="K438">
        <v>0</v>
      </c>
      <c r="L438">
        <v>9</v>
      </c>
      <c r="M438">
        <v>161</v>
      </c>
      <c r="N438">
        <v>675</v>
      </c>
      <c r="O438">
        <v>2229</v>
      </c>
      <c r="P438" s="3" cm="1">
        <f t="array" ref="P438">_xlfn.XLOOKUP(A438&amp;B438,'[1]Daily Sleep'!$A$2:$A$468&amp;'[1]Daily Sleep'!$B$2:$B$468,'[1]Daily Sleep'!$D$2:$D$468,"")</f>
        <v>9.4333333333333336</v>
      </c>
      <c r="Q438" t="str">
        <f t="shared" si="12"/>
        <v>Monday</v>
      </c>
      <c r="R438" t="str">
        <f t="shared" si="13"/>
        <v>Weekday</v>
      </c>
    </row>
    <row r="439" spans="1:18" x14ac:dyDescent="0.35">
      <c r="A439">
        <v>8792009665</v>
      </c>
      <c r="B439" s="1">
        <v>42465</v>
      </c>
      <c r="C439">
        <v>2332</v>
      </c>
      <c r="D439">
        <v>1.4900000095367401</v>
      </c>
      <c r="E439">
        <v>1.4900000095367401</v>
      </c>
      <c r="F439">
        <v>0</v>
      </c>
      <c r="G439">
        <v>9.9999997764825804E-3</v>
      </c>
      <c r="H439">
        <v>0.18000000715255701</v>
      </c>
      <c r="I439">
        <v>1.29999995231628</v>
      </c>
      <c r="J439">
        <v>0</v>
      </c>
      <c r="K439">
        <v>1</v>
      </c>
      <c r="L439">
        <v>10</v>
      </c>
      <c r="M439">
        <v>111</v>
      </c>
      <c r="N439">
        <v>904</v>
      </c>
      <c r="O439">
        <v>2100</v>
      </c>
      <c r="P439" s="3" cm="1">
        <f t="array" ref="P439">_xlfn.XLOOKUP(A439&amp;B439,'[1]Daily Sleep'!$A$2:$A$468&amp;'[1]Daily Sleep'!$B$2:$B$468,'[1]Daily Sleep'!$D$2:$D$468,"")</f>
        <v>6.4</v>
      </c>
      <c r="Q439" t="str">
        <f t="shared" si="12"/>
        <v>Tuesday</v>
      </c>
      <c r="R439" t="str">
        <f t="shared" si="13"/>
        <v>Weekday</v>
      </c>
    </row>
    <row r="440" spans="1:18" x14ac:dyDescent="0.35">
      <c r="A440">
        <v>8792009665</v>
      </c>
      <c r="B440" s="1">
        <v>42466</v>
      </c>
      <c r="C440">
        <v>2121</v>
      </c>
      <c r="D440">
        <v>1.3600000143051101</v>
      </c>
      <c r="E440">
        <v>1.3600000143051101</v>
      </c>
      <c r="F440">
        <v>0</v>
      </c>
      <c r="G440">
        <v>0</v>
      </c>
      <c r="H440">
        <v>0</v>
      </c>
      <c r="I440">
        <v>1.3600000143051101</v>
      </c>
      <c r="J440">
        <v>0</v>
      </c>
      <c r="K440">
        <v>0</v>
      </c>
      <c r="L440">
        <v>0</v>
      </c>
      <c r="M440">
        <v>122</v>
      </c>
      <c r="N440">
        <v>855</v>
      </c>
      <c r="O440">
        <v>2114</v>
      </c>
      <c r="P440" s="3" cm="1">
        <f t="array" ref="P440">_xlfn.XLOOKUP(A440&amp;B440,'[1]Daily Sleep'!$A$2:$A$468&amp;'[1]Daily Sleep'!$B$2:$B$468,'[1]Daily Sleep'!$D$2:$D$468,"")</f>
        <v>7.1166666666666663</v>
      </c>
      <c r="Q440" t="str">
        <f t="shared" si="12"/>
        <v>Wednesday</v>
      </c>
      <c r="R440" t="str">
        <f t="shared" si="13"/>
        <v>Weekday</v>
      </c>
    </row>
    <row r="441" spans="1:18" x14ac:dyDescent="0.35">
      <c r="A441">
        <v>8792009665</v>
      </c>
      <c r="B441" s="1">
        <v>42467</v>
      </c>
      <c r="C441">
        <v>1291</v>
      </c>
      <c r="D441">
        <v>0.82999998331069902</v>
      </c>
      <c r="E441">
        <v>0.82999998331069902</v>
      </c>
      <c r="F441">
        <v>0</v>
      </c>
      <c r="G441">
        <v>0</v>
      </c>
      <c r="H441">
        <v>0</v>
      </c>
      <c r="I441">
        <v>0.82999998331069902</v>
      </c>
      <c r="J441">
        <v>0</v>
      </c>
      <c r="K441">
        <v>0</v>
      </c>
      <c r="L441">
        <v>0</v>
      </c>
      <c r="M441">
        <v>77</v>
      </c>
      <c r="N441">
        <v>888</v>
      </c>
      <c r="O441">
        <v>1961</v>
      </c>
      <c r="P441" s="3" cm="1">
        <f t="array" ref="P441">_xlfn.XLOOKUP(A441&amp;B441,'[1]Daily Sleep'!$A$2:$A$468&amp;'[1]Daily Sleep'!$B$2:$B$468,'[1]Daily Sleep'!$D$2:$D$468,"")</f>
        <v>7.4333333333333336</v>
      </c>
      <c r="Q441" t="str">
        <f t="shared" si="12"/>
        <v>Thursday</v>
      </c>
      <c r="R441" t="str">
        <f t="shared" si="13"/>
        <v>Weekend</v>
      </c>
    </row>
    <row r="442" spans="1:18" x14ac:dyDescent="0.35">
      <c r="A442">
        <v>8792009665</v>
      </c>
      <c r="B442" s="1">
        <v>42468</v>
      </c>
      <c r="C442">
        <v>1467</v>
      </c>
      <c r="D442">
        <v>0.93999999761581399</v>
      </c>
      <c r="E442">
        <v>0.93999999761581399</v>
      </c>
      <c r="F442">
        <v>0</v>
      </c>
      <c r="G442">
        <v>0.10000000149011599</v>
      </c>
      <c r="H442">
        <v>0.20999999344348899</v>
      </c>
      <c r="I442">
        <v>0.62999999523162797</v>
      </c>
      <c r="J442">
        <v>0</v>
      </c>
      <c r="K442">
        <v>2</v>
      </c>
      <c r="L442">
        <v>8</v>
      </c>
      <c r="M442">
        <v>71</v>
      </c>
      <c r="N442">
        <v>912</v>
      </c>
      <c r="O442">
        <v>1953</v>
      </c>
      <c r="P442" s="3" cm="1">
        <f t="array" ref="P442">_xlfn.XLOOKUP(A442&amp;B442,'[1]Daily Sleep'!$A$2:$A$468&amp;'[1]Daily Sleep'!$B$2:$B$468,'[1]Daily Sleep'!$D$2:$D$468,"")</f>
        <v>7.0666666666666664</v>
      </c>
      <c r="Q442" t="str">
        <f t="shared" si="12"/>
        <v>Friday</v>
      </c>
      <c r="R442" t="str">
        <f t="shared" si="13"/>
        <v>Weekend</v>
      </c>
    </row>
    <row r="443" spans="1:18" x14ac:dyDescent="0.35">
      <c r="A443">
        <v>8792009665</v>
      </c>
      <c r="B443" s="1">
        <v>42469</v>
      </c>
      <c r="C443">
        <v>1022</v>
      </c>
      <c r="D443">
        <v>0.64999997615814198</v>
      </c>
      <c r="E443">
        <v>0.64999997615814198</v>
      </c>
      <c r="F443">
        <v>0</v>
      </c>
      <c r="G443">
        <v>0</v>
      </c>
      <c r="H443">
        <v>0</v>
      </c>
      <c r="I443">
        <v>0.64999997615814198</v>
      </c>
      <c r="J443">
        <v>0</v>
      </c>
      <c r="K443">
        <v>0</v>
      </c>
      <c r="L443">
        <v>0</v>
      </c>
      <c r="M443">
        <v>63</v>
      </c>
      <c r="N443">
        <v>739</v>
      </c>
      <c r="O443">
        <v>1890</v>
      </c>
      <c r="P443" s="3" cm="1">
        <f t="array" ref="P443">_xlfn.XLOOKUP(A443&amp;B443,'[1]Daily Sleep'!$A$2:$A$468&amp;'[1]Daily Sleep'!$B$2:$B$468,'[1]Daily Sleep'!$D$2:$D$468,"")</f>
        <v>10.016666666666667</v>
      </c>
      <c r="Q443" t="str">
        <f t="shared" si="12"/>
        <v>Saturday</v>
      </c>
      <c r="R443" t="str">
        <f t="shared" si="13"/>
        <v>Weekday</v>
      </c>
    </row>
    <row r="444" spans="1:18" x14ac:dyDescent="0.35">
      <c r="A444">
        <v>8792009665</v>
      </c>
      <c r="B444" s="1">
        <v>42470</v>
      </c>
      <c r="C444">
        <v>4605</v>
      </c>
      <c r="D444">
        <v>2.9500000476837198</v>
      </c>
      <c r="E444">
        <v>2.9500000476837198</v>
      </c>
      <c r="F444">
        <v>0</v>
      </c>
      <c r="G444">
        <v>0</v>
      </c>
      <c r="H444">
        <v>0</v>
      </c>
      <c r="I444">
        <v>2.9500000476837198</v>
      </c>
      <c r="J444">
        <v>0</v>
      </c>
      <c r="K444">
        <v>0</v>
      </c>
      <c r="L444">
        <v>0</v>
      </c>
      <c r="M444">
        <v>179</v>
      </c>
      <c r="N444">
        <v>1261</v>
      </c>
      <c r="O444">
        <v>2253</v>
      </c>
      <c r="P444" s="3" t="str" cm="1">
        <f t="array" ref="P444">_xlfn.XLOOKUP(A444&amp;B444,'[1]Daily Sleep'!$A$2:$A$468&amp;'[1]Daily Sleep'!$B$2:$B$468,'[1]Daily Sleep'!$D$2:$D$468,"")</f>
        <v/>
      </c>
      <c r="Q444" t="str">
        <f t="shared" si="12"/>
        <v>Sunday</v>
      </c>
      <c r="R444" t="str">
        <f t="shared" si="13"/>
        <v>Weekday</v>
      </c>
    </row>
    <row r="445" spans="1:18" x14ac:dyDescent="0.35">
      <c r="A445">
        <v>8792009665</v>
      </c>
      <c r="B445" s="1">
        <v>42471</v>
      </c>
      <c r="C445">
        <v>178</v>
      </c>
      <c r="D445">
        <v>0.109999999403954</v>
      </c>
      <c r="E445">
        <v>0.109999999403954</v>
      </c>
      <c r="F445">
        <v>0</v>
      </c>
      <c r="G445">
        <v>0</v>
      </c>
      <c r="H445">
        <v>0</v>
      </c>
      <c r="I445">
        <v>0.109999999403954</v>
      </c>
      <c r="J445">
        <v>0</v>
      </c>
      <c r="K445">
        <v>0</v>
      </c>
      <c r="L445">
        <v>0</v>
      </c>
      <c r="M445">
        <v>12</v>
      </c>
      <c r="N445">
        <v>1428</v>
      </c>
      <c r="O445">
        <v>1725</v>
      </c>
      <c r="P445" s="3" t="str" cm="1">
        <f t="array" ref="P445">_xlfn.XLOOKUP(A445&amp;B445,'[1]Daily Sleep'!$A$2:$A$468&amp;'[1]Daily Sleep'!$B$2:$B$468,'[1]Daily Sleep'!$D$2:$D$468,"")</f>
        <v/>
      </c>
      <c r="Q445" t="str">
        <f t="shared" si="12"/>
        <v>Monday</v>
      </c>
      <c r="R445" t="str">
        <f t="shared" si="13"/>
        <v>Weekday</v>
      </c>
    </row>
    <row r="446" spans="1:18" x14ac:dyDescent="0.35">
      <c r="A446">
        <v>8792009665</v>
      </c>
      <c r="B446" s="1">
        <v>42472</v>
      </c>
      <c r="C446">
        <v>20</v>
      </c>
      <c r="D446">
        <v>9.9999997764825804E-3</v>
      </c>
      <c r="E446">
        <v>9.9999997764825804E-3</v>
      </c>
      <c r="F446">
        <v>0</v>
      </c>
      <c r="G446">
        <v>0</v>
      </c>
      <c r="H446">
        <v>0</v>
      </c>
      <c r="I446">
        <v>9.9999997764825804E-3</v>
      </c>
      <c r="J446">
        <v>0</v>
      </c>
      <c r="K446">
        <v>0</v>
      </c>
      <c r="L446">
        <v>0</v>
      </c>
      <c r="M446">
        <v>6</v>
      </c>
      <c r="N446">
        <v>598</v>
      </c>
      <c r="O446">
        <v>728</v>
      </c>
      <c r="P446" s="3" t="str" cm="1">
        <f t="array" ref="P446">_xlfn.XLOOKUP(A446&amp;B446,'[1]Daily Sleep'!$A$2:$A$468&amp;'[1]Daily Sleep'!$B$2:$B$468,'[1]Daily Sleep'!$D$2:$D$468,"")</f>
        <v/>
      </c>
      <c r="Q446" t="str">
        <f t="shared" si="12"/>
        <v>Tuesday</v>
      </c>
      <c r="R446" t="str">
        <f t="shared" si="13"/>
        <v>Weekend</v>
      </c>
    </row>
    <row r="447" spans="1:18" x14ac:dyDescent="0.35">
      <c r="A447">
        <v>8877689391</v>
      </c>
      <c r="B447" s="1">
        <v>42461</v>
      </c>
      <c r="C447">
        <v>18700</v>
      </c>
      <c r="D447">
        <v>15.819999694824199</v>
      </c>
      <c r="E447">
        <v>15.819999694824199</v>
      </c>
      <c r="F447">
        <v>0</v>
      </c>
      <c r="G447">
        <v>8.6999998092651403</v>
      </c>
      <c r="H447">
        <v>0.15999999642372101</v>
      </c>
      <c r="I447">
        <v>6.9099998474121103</v>
      </c>
      <c r="J447">
        <v>0</v>
      </c>
      <c r="K447">
        <v>67</v>
      </c>
      <c r="L447">
        <v>3</v>
      </c>
      <c r="M447">
        <v>247</v>
      </c>
      <c r="N447">
        <v>1123</v>
      </c>
      <c r="O447">
        <v>3527</v>
      </c>
      <c r="P447" s="3" t="str" cm="1">
        <f t="array" ref="P447">_xlfn.XLOOKUP(A447&amp;B447,'[1]Daily Sleep'!$A$2:$A$468&amp;'[1]Daily Sleep'!$B$2:$B$468,'[1]Daily Sleep'!$D$2:$D$468,"")</f>
        <v/>
      </c>
      <c r="Q447" t="str">
        <f t="shared" si="12"/>
        <v>Friday</v>
      </c>
      <c r="R447" t="str">
        <f t="shared" si="13"/>
        <v>Weekend</v>
      </c>
    </row>
    <row r="448" spans="1:18" x14ac:dyDescent="0.35">
      <c r="A448">
        <v>8877689391</v>
      </c>
      <c r="B448" s="1">
        <v>42462</v>
      </c>
      <c r="C448">
        <v>27572</v>
      </c>
      <c r="D448">
        <v>23.389999389648398</v>
      </c>
      <c r="E448">
        <v>23.389999389648398</v>
      </c>
      <c r="F448">
        <v>0</v>
      </c>
      <c r="G448">
        <v>14.7200002670288</v>
      </c>
      <c r="H448">
        <v>1.21000003814697</v>
      </c>
      <c r="I448">
        <v>7.3400001525878897</v>
      </c>
      <c r="J448">
        <v>9.9999997764825804E-3</v>
      </c>
      <c r="K448">
        <v>116</v>
      </c>
      <c r="L448">
        <v>24</v>
      </c>
      <c r="M448">
        <v>260</v>
      </c>
      <c r="N448">
        <v>1040</v>
      </c>
      <c r="O448">
        <v>4220</v>
      </c>
      <c r="P448" s="3" t="str" cm="1">
        <f t="array" ref="P448">_xlfn.XLOOKUP(A448&amp;B448,'[1]Daily Sleep'!$A$2:$A$468&amp;'[1]Daily Sleep'!$B$2:$B$468,'[1]Daily Sleep'!$D$2:$D$468,"")</f>
        <v/>
      </c>
      <c r="Q448" t="str">
        <f t="shared" si="12"/>
        <v>Saturday</v>
      </c>
      <c r="R448" t="str">
        <f t="shared" si="13"/>
        <v>Weekday</v>
      </c>
    </row>
    <row r="449" spans="1:18" x14ac:dyDescent="0.35">
      <c r="A449">
        <v>8877689391</v>
      </c>
      <c r="B449" s="1">
        <v>42463</v>
      </c>
      <c r="C449">
        <v>15260</v>
      </c>
      <c r="D449">
        <v>8.1899995803833008</v>
      </c>
      <c r="E449">
        <v>8.1899995803833008</v>
      </c>
      <c r="F449">
        <v>0</v>
      </c>
      <c r="G449">
        <v>1.79999995231628</v>
      </c>
      <c r="H449">
        <v>0.75</v>
      </c>
      <c r="I449">
        <v>5.5700001716613796</v>
      </c>
      <c r="J449">
        <v>0</v>
      </c>
      <c r="K449">
        <v>106</v>
      </c>
      <c r="L449">
        <v>17</v>
      </c>
      <c r="M449">
        <v>259</v>
      </c>
      <c r="N449">
        <v>1058</v>
      </c>
      <c r="O449">
        <v>3864</v>
      </c>
      <c r="P449" s="3" t="str" cm="1">
        <f t="array" ref="P449">_xlfn.XLOOKUP(A449&amp;B449,'[1]Daily Sleep'!$A$2:$A$468&amp;'[1]Daily Sleep'!$B$2:$B$468,'[1]Daily Sleep'!$D$2:$D$468,"")</f>
        <v/>
      </c>
      <c r="Q449" t="str">
        <f t="shared" si="12"/>
        <v>Sunday</v>
      </c>
      <c r="R449" t="str">
        <f t="shared" si="13"/>
        <v>Weekday</v>
      </c>
    </row>
    <row r="450" spans="1:18" x14ac:dyDescent="0.35">
      <c r="A450">
        <v>8877689391</v>
      </c>
      <c r="B450" s="1">
        <v>42464</v>
      </c>
      <c r="C450">
        <v>20779</v>
      </c>
      <c r="D450">
        <v>18.409999847412099</v>
      </c>
      <c r="E450">
        <v>18.409999847412099</v>
      </c>
      <c r="F450">
        <v>0</v>
      </c>
      <c r="G450">
        <v>11.7299995422363</v>
      </c>
      <c r="H450">
        <v>0.64999997615814198</v>
      </c>
      <c r="I450">
        <v>6</v>
      </c>
      <c r="J450">
        <v>0</v>
      </c>
      <c r="K450">
        <v>78</v>
      </c>
      <c r="L450">
        <v>16</v>
      </c>
      <c r="M450">
        <v>208</v>
      </c>
      <c r="N450">
        <v>1138</v>
      </c>
      <c r="O450">
        <v>3662</v>
      </c>
      <c r="P450" s="3" t="str" cm="1">
        <f t="array" ref="P450">_xlfn.XLOOKUP(A450&amp;B450,'[1]Daily Sleep'!$A$2:$A$468&amp;'[1]Daily Sleep'!$B$2:$B$468,'[1]Daily Sleep'!$D$2:$D$468,"")</f>
        <v/>
      </c>
      <c r="Q450" t="str">
        <f t="shared" si="12"/>
        <v>Monday</v>
      </c>
      <c r="R450" t="str">
        <f t="shared" si="13"/>
        <v>Weekday</v>
      </c>
    </row>
    <row r="451" spans="1:18" x14ac:dyDescent="0.35">
      <c r="A451">
        <v>8877689391</v>
      </c>
      <c r="B451" s="1">
        <v>42465</v>
      </c>
      <c r="C451">
        <v>10695</v>
      </c>
      <c r="D451">
        <v>8.1199998855590803</v>
      </c>
      <c r="E451">
        <v>8.1199998855590803</v>
      </c>
      <c r="F451">
        <v>0</v>
      </c>
      <c r="G451">
        <v>0.769999980926514</v>
      </c>
      <c r="H451">
        <v>0.18000000715255701</v>
      </c>
      <c r="I451">
        <v>7.0900001525878897</v>
      </c>
      <c r="J451">
        <v>9.9999997764825804E-3</v>
      </c>
      <c r="K451">
        <v>10</v>
      </c>
      <c r="L451">
        <v>3</v>
      </c>
      <c r="M451">
        <v>246</v>
      </c>
      <c r="N451">
        <v>1181</v>
      </c>
      <c r="O451">
        <v>2834</v>
      </c>
      <c r="P451" s="3" t="str" cm="1">
        <f t="array" ref="P451">_xlfn.XLOOKUP(A451&amp;B451,'[1]Daily Sleep'!$A$2:$A$468&amp;'[1]Daily Sleep'!$B$2:$B$468,'[1]Daily Sleep'!$D$2:$D$468,"")</f>
        <v/>
      </c>
      <c r="Q451" t="str">
        <f t="shared" ref="Q451:Q458" si="14">TEXT(B451,"dddd")</f>
        <v>Tuesday</v>
      </c>
      <c r="R451" t="str">
        <f t="shared" ref="R451:R458" si="15">IF(OR(WEEKDAY(B452,2)=5,WEEKDAY(B452,2)=6),"Weekend","Weekday")</f>
        <v>Weekday</v>
      </c>
    </row>
    <row r="452" spans="1:18" x14ac:dyDescent="0.35">
      <c r="A452">
        <v>8877689391</v>
      </c>
      <c r="B452" s="1">
        <v>42466</v>
      </c>
      <c r="C452">
        <v>24136</v>
      </c>
      <c r="D452">
        <v>20.909999847412099</v>
      </c>
      <c r="E452">
        <v>20.909999847412099</v>
      </c>
      <c r="F452">
        <v>0</v>
      </c>
      <c r="G452">
        <v>12.2200002670288</v>
      </c>
      <c r="H452">
        <v>0.54000002145767201</v>
      </c>
      <c r="I452">
        <v>8.0799999237060494</v>
      </c>
      <c r="J452">
        <v>0</v>
      </c>
      <c r="K452">
        <v>87</v>
      </c>
      <c r="L452">
        <v>16</v>
      </c>
      <c r="M452">
        <v>318</v>
      </c>
      <c r="N452">
        <v>1019</v>
      </c>
      <c r="O452">
        <v>4039</v>
      </c>
      <c r="P452" s="3" t="str" cm="1">
        <f t="array" ref="P452">_xlfn.XLOOKUP(A452&amp;B452,'[1]Daily Sleep'!$A$2:$A$468&amp;'[1]Daily Sleep'!$B$2:$B$468,'[1]Daily Sleep'!$D$2:$D$468,"")</f>
        <v/>
      </c>
      <c r="Q452" t="str">
        <f t="shared" si="14"/>
        <v>Wednesday</v>
      </c>
      <c r="R452" t="str">
        <f t="shared" si="15"/>
        <v>Weekday</v>
      </c>
    </row>
    <row r="453" spans="1:18" x14ac:dyDescent="0.35">
      <c r="A453">
        <v>8877689391</v>
      </c>
      <c r="B453" s="1">
        <v>42467</v>
      </c>
      <c r="C453">
        <v>10910</v>
      </c>
      <c r="D453">
        <v>8.4200000762939506</v>
      </c>
      <c r="E453">
        <v>8.4200000762939506</v>
      </c>
      <c r="F453">
        <v>0</v>
      </c>
      <c r="G453">
        <v>2.96000003814697</v>
      </c>
      <c r="H453">
        <v>0.38999998569488498</v>
      </c>
      <c r="I453">
        <v>5.0300002098083496</v>
      </c>
      <c r="J453">
        <v>0</v>
      </c>
      <c r="K453">
        <v>32</v>
      </c>
      <c r="L453">
        <v>11</v>
      </c>
      <c r="M453">
        <v>212</v>
      </c>
      <c r="N453">
        <v>1185</v>
      </c>
      <c r="O453">
        <v>2947</v>
      </c>
      <c r="P453" s="3" t="str" cm="1">
        <f t="array" ref="P453">_xlfn.XLOOKUP(A453&amp;B453,'[1]Daily Sleep'!$A$2:$A$468&amp;'[1]Daily Sleep'!$B$2:$B$468,'[1]Daily Sleep'!$D$2:$D$468,"")</f>
        <v/>
      </c>
      <c r="Q453" t="str">
        <f t="shared" si="14"/>
        <v>Thursday</v>
      </c>
      <c r="R453" t="str">
        <f t="shared" si="15"/>
        <v>Weekend</v>
      </c>
    </row>
    <row r="454" spans="1:18" x14ac:dyDescent="0.35">
      <c r="A454">
        <v>8877689391</v>
      </c>
      <c r="B454" s="1">
        <v>42468</v>
      </c>
      <c r="C454">
        <v>23014</v>
      </c>
      <c r="D454">
        <v>20.389999389648398</v>
      </c>
      <c r="E454">
        <v>20.389999389648398</v>
      </c>
      <c r="F454">
        <v>0</v>
      </c>
      <c r="G454">
        <v>11.1000003814697</v>
      </c>
      <c r="H454">
        <v>0.62999999523162797</v>
      </c>
      <c r="I454">
        <v>8.6199998855590803</v>
      </c>
      <c r="J454">
        <v>0</v>
      </c>
      <c r="K454">
        <v>70</v>
      </c>
      <c r="L454">
        <v>29</v>
      </c>
      <c r="M454">
        <v>359</v>
      </c>
      <c r="N454">
        <v>982</v>
      </c>
      <c r="O454">
        <v>4196</v>
      </c>
      <c r="P454" s="3" t="str" cm="1">
        <f t="array" ref="P454">_xlfn.XLOOKUP(A454&amp;B454,'[1]Daily Sleep'!$A$2:$A$468&amp;'[1]Daily Sleep'!$B$2:$B$468,'[1]Daily Sleep'!$D$2:$D$468,"")</f>
        <v/>
      </c>
      <c r="Q454" t="str">
        <f t="shared" si="14"/>
        <v>Friday</v>
      </c>
      <c r="R454" t="str">
        <f t="shared" si="15"/>
        <v>Weekend</v>
      </c>
    </row>
    <row r="455" spans="1:18" x14ac:dyDescent="0.35">
      <c r="A455">
        <v>8877689391</v>
      </c>
      <c r="B455" s="1">
        <v>42469</v>
      </c>
      <c r="C455">
        <v>16470</v>
      </c>
      <c r="D455">
        <v>8.0699996948242205</v>
      </c>
      <c r="E455">
        <v>8.0699996948242205</v>
      </c>
      <c r="F455">
        <v>0</v>
      </c>
      <c r="G455">
        <v>0</v>
      </c>
      <c r="H455">
        <v>1.9999999552965199E-2</v>
      </c>
      <c r="I455">
        <v>8.0200004577636701</v>
      </c>
      <c r="J455">
        <v>0</v>
      </c>
      <c r="K455">
        <v>90</v>
      </c>
      <c r="L455">
        <v>9</v>
      </c>
      <c r="M455">
        <v>289</v>
      </c>
      <c r="N455">
        <v>1052</v>
      </c>
      <c r="O455">
        <v>3841</v>
      </c>
      <c r="P455" s="3" t="str" cm="1">
        <f t="array" ref="P455">_xlfn.XLOOKUP(A455&amp;B455,'[1]Daily Sleep'!$A$2:$A$468&amp;'[1]Daily Sleep'!$B$2:$B$468,'[1]Daily Sleep'!$D$2:$D$468,"")</f>
        <v/>
      </c>
      <c r="Q455" t="str">
        <f t="shared" si="14"/>
        <v>Saturday</v>
      </c>
      <c r="R455" t="str">
        <f t="shared" si="15"/>
        <v>Weekday</v>
      </c>
    </row>
    <row r="456" spans="1:18" x14ac:dyDescent="0.35">
      <c r="A456">
        <v>8877689391</v>
      </c>
      <c r="B456" s="1">
        <v>42470</v>
      </c>
      <c r="C456">
        <v>28497</v>
      </c>
      <c r="D456">
        <v>27.530000686645501</v>
      </c>
      <c r="E456">
        <v>27.530000686645501</v>
      </c>
      <c r="F456">
        <v>0</v>
      </c>
      <c r="G456">
        <v>21.920000076293899</v>
      </c>
      <c r="H456">
        <v>1.12000000476837</v>
      </c>
      <c r="I456">
        <v>4.46000003814697</v>
      </c>
      <c r="J456">
        <v>0</v>
      </c>
      <c r="K456">
        <v>128</v>
      </c>
      <c r="L456">
        <v>46</v>
      </c>
      <c r="M456">
        <v>211</v>
      </c>
      <c r="N456">
        <v>1055</v>
      </c>
      <c r="O456">
        <v>4526</v>
      </c>
      <c r="P456" s="3" t="str" cm="1">
        <f t="array" ref="P456">_xlfn.XLOOKUP(A456&amp;B456,'[1]Daily Sleep'!$A$2:$A$468&amp;'[1]Daily Sleep'!$B$2:$B$468,'[1]Daily Sleep'!$D$2:$D$468,"")</f>
        <v/>
      </c>
      <c r="Q456" t="str">
        <f t="shared" si="14"/>
        <v>Sunday</v>
      </c>
      <c r="R456" t="str">
        <f t="shared" si="15"/>
        <v>Weekday</v>
      </c>
    </row>
    <row r="457" spans="1:18" x14ac:dyDescent="0.35">
      <c r="A457">
        <v>8877689391</v>
      </c>
      <c r="B457" s="1">
        <v>42471</v>
      </c>
      <c r="C457">
        <v>10622</v>
      </c>
      <c r="D457">
        <v>8.0600004196166992</v>
      </c>
      <c r="E457">
        <v>8.0600004196166992</v>
      </c>
      <c r="F457">
        <v>0</v>
      </c>
      <c r="G457">
        <v>1.4700000286102299</v>
      </c>
      <c r="H457">
        <v>0.15000000596046401</v>
      </c>
      <c r="I457">
        <v>6.3699998855590803</v>
      </c>
      <c r="J457">
        <v>9.9999997764825804E-3</v>
      </c>
      <c r="K457">
        <v>18</v>
      </c>
      <c r="L457">
        <v>7</v>
      </c>
      <c r="M457">
        <v>225</v>
      </c>
      <c r="N457">
        <v>1190</v>
      </c>
      <c r="O457">
        <v>2820</v>
      </c>
      <c r="P457" s="3" t="str" cm="1">
        <f t="array" ref="P457">_xlfn.XLOOKUP(A457&amp;B457,'[1]Daily Sleep'!$A$2:$A$468&amp;'[1]Daily Sleep'!$B$2:$B$468,'[1]Daily Sleep'!$D$2:$D$468,"")</f>
        <v/>
      </c>
      <c r="Q457" t="str">
        <f t="shared" si="14"/>
        <v>Monday</v>
      </c>
      <c r="R457" t="str">
        <f t="shared" si="15"/>
        <v>Weekday</v>
      </c>
    </row>
    <row r="458" spans="1:18" x14ac:dyDescent="0.35">
      <c r="A458">
        <v>8877689391</v>
      </c>
      <c r="B458" s="1">
        <v>42472</v>
      </c>
      <c r="C458">
        <v>2350</v>
      </c>
      <c r="D458">
        <v>1.7799999713897701</v>
      </c>
      <c r="E458">
        <v>1.7799999713897701</v>
      </c>
      <c r="F458">
        <v>0</v>
      </c>
      <c r="G458">
        <v>0</v>
      </c>
      <c r="H458">
        <v>0</v>
      </c>
      <c r="I458">
        <v>1.7799999713897701</v>
      </c>
      <c r="J458">
        <v>0</v>
      </c>
      <c r="K458">
        <v>0</v>
      </c>
      <c r="L458">
        <v>0</v>
      </c>
      <c r="M458">
        <v>58</v>
      </c>
      <c r="N458">
        <v>531</v>
      </c>
      <c r="O458">
        <v>938</v>
      </c>
      <c r="P458" s="3" t="str" cm="1">
        <f t="array" ref="P458">_xlfn.XLOOKUP(A458&amp;B458,'[1]Daily Sleep'!$A$2:$A$468&amp;'[1]Daily Sleep'!$B$2:$B$468,'[1]Daily Sleep'!$D$2:$D$468,"")</f>
        <v/>
      </c>
      <c r="Q458" t="str">
        <f t="shared" si="14"/>
        <v>Tuesday</v>
      </c>
      <c r="R458" t="str">
        <f t="shared" si="15"/>
        <v>Weekend</v>
      </c>
    </row>
  </sheetData>
  <autoFilter ref="A1:P458" xr:uid="{43E2E4AB-A2AC-4C96-B48E-A50E4541C4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A1E5-3504-4E71-8919-7BA7728339A5}">
  <dimension ref="A1:E107"/>
  <sheetViews>
    <sheetView tabSelected="1" topLeftCell="A67" zoomScale="55" workbookViewId="0">
      <selection activeCell="B107" sqref="A107:B107"/>
    </sheetView>
  </sheetViews>
  <sheetFormatPr defaultRowHeight="13.5" x14ac:dyDescent="0.35"/>
  <cols>
    <col min="1" max="1" width="19.8125" bestFit="1" customWidth="1"/>
    <col min="2" max="2" width="19.9375" customWidth="1"/>
    <col min="3" max="3" width="71.25" bestFit="1" customWidth="1"/>
  </cols>
  <sheetData>
    <row r="1" spans="1:5" ht="19.149999999999999" customHeight="1" x14ac:dyDescent="0.35">
      <c r="A1" s="8" t="s">
        <v>29</v>
      </c>
      <c r="B1" s="8"/>
      <c r="C1" s="8"/>
    </row>
    <row r="2" spans="1:5" ht="18.75" customHeight="1" x14ac:dyDescent="0.35">
      <c r="A2" s="9" t="s">
        <v>30</v>
      </c>
      <c r="B2" s="9"/>
      <c r="C2" s="5"/>
      <c r="D2" s="5"/>
    </row>
    <row r="3" spans="1:5" ht="18.75" customHeight="1" x14ac:dyDescent="0.35">
      <c r="A3" s="10" t="s">
        <v>31</v>
      </c>
      <c r="B3" s="10"/>
      <c r="C3" s="10"/>
      <c r="D3" s="5"/>
    </row>
    <row r="4" spans="1:5" ht="18.75" customHeight="1" x14ac:dyDescent="0.35">
      <c r="A4" s="10"/>
      <c r="B4" s="10"/>
      <c r="C4" s="10"/>
      <c r="D4" s="5"/>
    </row>
    <row r="5" spans="1:5" ht="5.25" customHeight="1" x14ac:dyDescent="0.35">
      <c r="A5" s="10"/>
      <c r="B5" s="10"/>
      <c r="C5" s="10"/>
      <c r="D5" s="5"/>
    </row>
    <row r="6" spans="1:5" ht="13.9" x14ac:dyDescent="0.4">
      <c r="A6" s="4" t="s">
        <v>16</v>
      </c>
      <c r="B6" s="4" t="s">
        <v>17</v>
      </c>
      <c r="C6" s="5"/>
      <c r="D6" s="5"/>
    </row>
    <row r="7" spans="1:5" ht="13.5" customHeight="1" x14ac:dyDescent="0.35">
      <c r="A7" t="s">
        <v>18</v>
      </c>
      <c r="B7">
        <f>AVERAGE(Analysis!C2:C458)</f>
        <v>6546.5623632385123</v>
      </c>
      <c r="C7" s="5"/>
      <c r="D7" s="5"/>
    </row>
    <row r="8" spans="1:5" ht="13.5" customHeight="1" x14ac:dyDescent="0.35">
      <c r="A8" t="s">
        <v>19</v>
      </c>
      <c r="B8">
        <f>MIN(Analysis!C2:C458)</f>
        <v>0</v>
      </c>
      <c r="C8" s="5"/>
      <c r="D8" s="5"/>
    </row>
    <row r="9" spans="1:5" ht="13.5" customHeight="1" x14ac:dyDescent="0.35">
      <c r="A9" t="s">
        <v>20</v>
      </c>
      <c r="B9">
        <f>MAX(Analysis!C2:C458)</f>
        <v>28497</v>
      </c>
      <c r="C9" s="5"/>
      <c r="D9" s="5"/>
    </row>
    <row r="10" spans="1:5" ht="13.5" customHeight="1" x14ac:dyDescent="0.35">
      <c r="A10" t="s">
        <v>28</v>
      </c>
      <c r="B10">
        <f>MEDIAN(Analysis!C2:C458)</f>
        <v>5986</v>
      </c>
      <c r="C10" s="5"/>
      <c r="D10" s="5"/>
    </row>
    <row r="11" spans="1:5" ht="13.5" customHeight="1" x14ac:dyDescent="0.35">
      <c r="C11" s="5"/>
      <c r="D11" s="5"/>
    </row>
    <row r="12" spans="1:5" ht="13.5" customHeight="1" x14ac:dyDescent="0.35">
      <c r="A12" t="s">
        <v>21</v>
      </c>
      <c r="B12">
        <f>_xlfn.QUARTILE.INC(Analysis!C2:C458,1)</f>
        <v>1988</v>
      </c>
      <c r="C12" s="6"/>
      <c r="D12" s="6"/>
      <c r="E12" s="6"/>
    </row>
    <row r="13" spans="1:5" ht="13.5" customHeight="1" x14ac:dyDescent="0.35">
      <c r="A13" t="s">
        <v>22</v>
      </c>
      <c r="B13">
        <f>_xlfn.QUARTILE.INC(Analysis!C2:C458,3)</f>
        <v>10198</v>
      </c>
      <c r="C13" s="6"/>
      <c r="D13" s="6"/>
      <c r="E13" s="6"/>
    </row>
    <row r="14" spans="1:5" ht="13.5" customHeight="1" x14ac:dyDescent="0.35">
      <c r="A14" t="s">
        <v>23</v>
      </c>
      <c r="B14">
        <f>B13-B12</f>
        <v>8210</v>
      </c>
      <c r="C14" s="6"/>
      <c r="D14" s="6"/>
      <c r="E14" s="6"/>
    </row>
    <row r="15" spans="1:5" ht="13.5" customHeight="1" x14ac:dyDescent="0.4">
      <c r="C15" s="4"/>
      <c r="D15" s="4"/>
      <c r="E15" s="5"/>
    </row>
    <row r="16" spans="1:5" ht="13.5" customHeight="1" x14ac:dyDescent="0.35">
      <c r="A16" t="s">
        <v>24</v>
      </c>
      <c r="B16">
        <f>B13+1.5*B14</f>
        <v>22513</v>
      </c>
      <c r="C16" s="5"/>
      <c r="D16" s="5"/>
    </row>
    <row r="17" spans="1:4" ht="13.5" customHeight="1" x14ac:dyDescent="0.35">
      <c r="A17" t="s">
        <v>25</v>
      </c>
      <c r="B17">
        <f>B12-1.5*B14</f>
        <v>-10327</v>
      </c>
      <c r="C17" s="5"/>
      <c r="D17" s="5"/>
    </row>
    <row r="18" spans="1:4" ht="13.5" customHeight="1" x14ac:dyDescent="0.35">
      <c r="C18" s="5"/>
      <c r="D18" s="5"/>
    </row>
    <row r="19" spans="1:4" ht="13.5" customHeight="1" x14ac:dyDescent="0.35">
      <c r="A19" t="s">
        <v>26</v>
      </c>
      <c r="B19">
        <f>COUNTIF(Analysis!C2:C458,"&gt;=22513")</f>
        <v>5</v>
      </c>
      <c r="C19" s="5"/>
      <c r="D19" s="5"/>
    </row>
    <row r="20" spans="1:4" ht="13.5" customHeight="1" x14ac:dyDescent="0.35">
      <c r="A20" t="s">
        <v>27</v>
      </c>
      <c r="B20">
        <f>COUNTIF(Analysis!C2:C458,"&lt;=-10327")</f>
        <v>0</v>
      </c>
      <c r="C20" s="5"/>
      <c r="D20" s="5"/>
    </row>
    <row r="22" spans="1:4" ht="13.9" x14ac:dyDescent="0.35">
      <c r="A22" s="11" t="s">
        <v>34</v>
      </c>
      <c r="B22" s="11"/>
    </row>
    <row r="23" spans="1:4" x14ac:dyDescent="0.35">
      <c r="A23" s="10" t="s">
        <v>39</v>
      </c>
      <c r="B23" s="10"/>
      <c r="C23" s="10"/>
    </row>
    <row r="24" spans="1:4" x14ac:dyDescent="0.35">
      <c r="A24" s="10"/>
      <c r="B24" s="10"/>
      <c r="C24" s="10"/>
    </row>
    <row r="25" spans="1:4" x14ac:dyDescent="0.35">
      <c r="A25" s="10"/>
      <c r="B25" s="10"/>
      <c r="C25" s="10"/>
    </row>
    <row r="26" spans="1:4" ht="13.9" x14ac:dyDescent="0.4">
      <c r="A26" s="4" t="s">
        <v>16</v>
      </c>
      <c r="B26" s="4" t="s">
        <v>17</v>
      </c>
    </row>
    <row r="27" spans="1:4" x14ac:dyDescent="0.35">
      <c r="A27" t="s">
        <v>36</v>
      </c>
      <c r="B27" s="3">
        <f>AVERAGEIF(Analysis!R2:R458,"Weekday",Analysis!C2:C458)</f>
        <v>6866.1067961165045</v>
      </c>
    </row>
    <row r="28" spans="1:4" x14ac:dyDescent="0.35">
      <c r="A28" t="s">
        <v>37</v>
      </c>
      <c r="B28" s="3">
        <f>AVERAGEIF(Analysis!R2:R458,"Weekend",Analysis!C2:C458)</f>
        <v>5879.405405405405</v>
      </c>
    </row>
    <row r="29" spans="1:4" x14ac:dyDescent="0.35">
      <c r="A29" t="s">
        <v>35</v>
      </c>
      <c r="B29" s="3">
        <f>B27-B28</f>
        <v>986.70139071109952</v>
      </c>
    </row>
    <row r="30" spans="1:4" x14ac:dyDescent="0.35">
      <c r="A30" t="s">
        <v>38</v>
      </c>
      <c r="B30" s="7">
        <f>(B27-B28)/B28</f>
        <v>0.16782332951627157</v>
      </c>
    </row>
    <row r="32" spans="1:4" ht="13.9" customHeight="1" x14ac:dyDescent="0.35">
      <c r="A32" s="9" t="s">
        <v>40</v>
      </c>
      <c r="B32" s="9"/>
    </row>
    <row r="33" spans="1:3" ht="13.5" customHeight="1" x14ac:dyDescent="0.35">
      <c r="A33" s="10" t="s">
        <v>48</v>
      </c>
      <c r="B33" s="10"/>
      <c r="C33" s="10"/>
    </row>
    <row r="34" spans="1:3" x14ac:dyDescent="0.35">
      <c r="A34" s="10"/>
      <c r="B34" s="10"/>
      <c r="C34" s="10"/>
    </row>
    <row r="35" spans="1:3" x14ac:dyDescent="0.35">
      <c r="A35" s="10"/>
      <c r="B35" s="10"/>
      <c r="C35" s="10"/>
    </row>
    <row r="36" spans="1:3" ht="13.9" x14ac:dyDescent="0.4">
      <c r="A36" s="4" t="s">
        <v>16</v>
      </c>
      <c r="B36" s="4" t="s">
        <v>17</v>
      </c>
      <c r="C36" s="5"/>
    </row>
    <row r="37" spans="1:3" x14ac:dyDescent="0.35">
      <c r="A37" t="s">
        <v>41</v>
      </c>
      <c r="B37" s="3">
        <f>AVERAGEIF(Analysis!Q2:Q458,Analysis!Q4,Analysis!C2:C458)</f>
        <v>6058.0138888888887</v>
      </c>
    </row>
    <row r="38" spans="1:3" x14ac:dyDescent="0.35">
      <c r="A38" t="s">
        <v>42</v>
      </c>
      <c r="B38" s="3">
        <f>AVERAGEIF(Analysis!Q2:Q458,Analysis!Q5,Analysis!C2:C458)</f>
        <v>7118.588235294118</v>
      </c>
    </row>
    <row r="39" spans="1:3" x14ac:dyDescent="0.35">
      <c r="A39" t="s">
        <v>43</v>
      </c>
      <c r="B39" s="3">
        <f>AVERAGEIF(Analysis!Q2:Q458,Analysis!Q6,Analysis!C2:C458)</f>
        <v>4914.9178082191784</v>
      </c>
    </row>
    <row r="40" spans="1:3" x14ac:dyDescent="0.35">
      <c r="A40" t="s">
        <v>44</v>
      </c>
      <c r="B40" s="3">
        <f>AVERAGEIF(Analysis!Q2:Q458,Analysis!Q7,Analysis!C2:C458)</f>
        <v>7510.708333333333</v>
      </c>
    </row>
    <row r="41" spans="1:3" x14ac:dyDescent="0.35">
      <c r="A41" t="s">
        <v>45</v>
      </c>
      <c r="B41" s="3">
        <f>AVERAGEIF(Analysis!Q2:Q458,Analysis!Q15,Analysis!C2:C458)</f>
        <v>6847.083333333333</v>
      </c>
    </row>
    <row r="42" spans="1:3" x14ac:dyDescent="0.35">
      <c r="A42" t="s">
        <v>46</v>
      </c>
      <c r="B42" s="3">
        <f>AVERAGEIF(Analysis!Q2:Q458,Analysis!Q9,Analysis!C2:C458)</f>
        <v>6737.5616438356165</v>
      </c>
    </row>
    <row r="43" spans="1:3" x14ac:dyDescent="0.35">
      <c r="A43" t="s">
        <v>47</v>
      </c>
      <c r="B43" s="3">
        <f>AVERAGEIF(Analysis!Q2:Q458,Analysis!Q10,Analysis!C2:C458)</f>
        <v>7089.7733333333335</v>
      </c>
    </row>
    <row r="45" spans="1:3" ht="13.9" x14ac:dyDescent="0.35">
      <c r="A45" s="11" t="s">
        <v>49</v>
      </c>
      <c r="B45" s="11"/>
    </row>
    <row r="46" spans="1:3" x14ac:dyDescent="0.35">
      <c r="A46" s="10" t="s">
        <v>50</v>
      </c>
      <c r="B46" s="10"/>
      <c r="C46" s="10"/>
    </row>
    <row r="47" spans="1:3" x14ac:dyDescent="0.35">
      <c r="A47" s="10"/>
      <c r="B47" s="10"/>
      <c r="C47" s="10"/>
    </row>
    <row r="48" spans="1:3" x14ac:dyDescent="0.35">
      <c r="A48" s="10"/>
      <c r="B48" s="10"/>
      <c r="C48" s="10"/>
    </row>
    <row r="49" spans="1:3" ht="13.9" x14ac:dyDescent="0.4">
      <c r="A49" s="4" t="s">
        <v>16</v>
      </c>
      <c r="B49" s="4" t="s">
        <v>17</v>
      </c>
      <c r="C49" t="s">
        <v>73</v>
      </c>
    </row>
    <row r="50" spans="1:3" x14ac:dyDescent="0.35">
      <c r="A50">
        <v>0</v>
      </c>
      <c r="B50" s="3">
        <v>44.421155729676791</v>
      </c>
    </row>
    <row r="51" spans="1:3" x14ac:dyDescent="0.35">
      <c r="A51">
        <v>1</v>
      </c>
      <c r="B51" s="3">
        <v>20.484818805093045</v>
      </c>
    </row>
    <row r="52" spans="1:3" x14ac:dyDescent="0.35">
      <c r="A52">
        <v>2</v>
      </c>
      <c r="B52" s="3">
        <v>10.588638589618022</v>
      </c>
    </row>
    <row r="53" spans="1:3" x14ac:dyDescent="0.35">
      <c r="A53">
        <v>3</v>
      </c>
      <c r="B53" s="3">
        <v>7.31207065750736</v>
      </c>
    </row>
    <row r="54" spans="1:3" x14ac:dyDescent="0.35">
      <c r="A54">
        <v>4</v>
      </c>
      <c r="B54" s="3">
        <v>9.7554027504911591</v>
      </c>
    </row>
    <row r="55" spans="1:3" x14ac:dyDescent="0.35">
      <c r="A55">
        <v>5</v>
      </c>
      <c r="B55" s="3">
        <v>26.113077679449361</v>
      </c>
    </row>
    <row r="56" spans="1:3" x14ac:dyDescent="0.35">
      <c r="A56">
        <v>6</v>
      </c>
      <c r="B56" s="3">
        <v>120.16437007874016</v>
      </c>
    </row>
    <row r="57" spans="1:3" x14ac:dyDescent="0.35">
      <c r="A57">
        <v>7</v>
      </c>
      <c r="B57" s="3">
        <v>267.12031558185402</v>
      </c>
    </row>
    <row r="58" spans="1:3" x14ac:dyDescent="0.35">
      <c r="A58">
        <v>8</v>
      </c>
      <c r="B58" s="3">
        <v>365.59643916913944</v>
      </c>
    </row>
    <row r="59" spans="1:3" x14ac:dyDescent="0.35">
      <c r="A59">
        <v>9</v>
      </c>
      <c r="B59" s="3">
        <v>430.25841584158417</v>
      </c>
    </row>
    <row r="60" spans="1:3" x14ac:dyDescent="0.35">
      <c r="A60">
        <v>10</v>
      </c>
      <c r="B60" s="3">
        <v>437.00499500499501</v>
      </c>
    </row>
    <row r="61" spans="1:3" x14ac:dyDescent="0.35">
      <c r="A61">
        <v>11</v>
      </c>
      <c r="B61" s="3">
        <v>452.74523570712137</v>
      </c>
    </row>
    <row r="62" spans="1:3" x14ac:dyDescent="0.35">
      <c r="A62">
        <v>12</v>
      </c>
      <c r="B62" s="3">
        <v>520.94477911646584</v>
      </c>
    </row>
    <row r="63" spans="1:3" x14ac:dyDescent="0.35">
      <c r="A63">
        <v>13</v>
      </c>
      <c r="B63" s="3">
        <v>457.88253012048193</v>
      </c>
    </row>
    <row r="64" spans="1:3" x14ac:dyDescent="0.35">
      <c r="A64">
        <v>14</v>
      </c>
      <c r="B64" s="3">
        <v>474.12449799196787</v>
      </c>
    </row>
    <row r="65" spans="1:3" x14ac:dyDescent="0.35">
      <c r="A65">
        <v>15</v>
      </c>
      <c r="B65" s="3">
        <v>390.46934673366832</v>
      </c>
    </row>
    <row r="66" spans="1:3" x14ac:dyDescent="0.35">
      <c r="A66">
        <v>16</v>
      </c>
      <c r="B66" s="3">
        <v>447.36683417085425</v>
      </c>
    </row>
    <row r="67" spans="1:3" x14ac:dyDescent="0.35">
      <c r="A67">
        <v>17</v>
      </c>
      <c r="B67" s="3">
        <v>453.6639839034205</v>
      </c>
    </row>
    <row r="68" spans="1:3" x14ac:dyDescent="0.35">
      <c r="A68">
        <v>18</v>
      </c>
      <c r="B68" s="3">
        <v>505.64652567975833</v>
      </c>
    </row>
    <row r="69" spans="1:3" x14ac:dyDescent="0.35">
      <c r="A69">
        <v>19</v>
      </c>
      <c r="B69" s="3">
        <v>528.87814702920446</v>
      </c>
      <c r="C69">
        <v>528.88</v>
      </c>
    </row>
    <row r="70" spans="1:3" x14ac:dyDescent="0.35">
      <c r="A70">
        <v>20</v>
      </c>
      <c r="B70" s="3">
        <v>399.3178607467205</v>
      </c>
    </row>
    <row r="71" spans="1:3" x14ac:dyDescent="0.35">
      <c r="A71">
        <v>21</v>
      </c>
      <c r="B71" s="3">
        <v>261.00908173562061</v>
      </c>
    </row>
    <row r="72" spans="1:3" x14ac:dyDescent="0.35">
      <c r="A72">
        <v>22</v>
      </c>
      <c r="B72" s="3">
        <v>172.98383838383839</v>
      </c>
    </row>
    <row r="73" spans="1:3" x14ac:dyDescent="0.35">
      <c r="A73">
        <v>23</v>
      </c>
      <c r="B73" s="3">
        <v>102.90182186234817</v>
      </c>
    </row>
    <row r="75" spans="1:3" ht="13.9" x14ac:dyDescent="0.35">
      <c r="A75" s="11" t="s">
        <v>51</v>
      </c>
      <c r="B75" s="11"/>
      <c r="C75" s="2"/>
    </row>
    <row r="76" spans="1:3" x14ac:dyDescent="0.35">
      <c r="A76" s="10" t="s">
        <v>61</v>
      </c>
      <c r="B76" s="10"/>
      <c r="C76" s="10"/>
    </row>
    <row r="77" spans="1:3" x14ac:dyDescent="0.35">
      <c r="A77" s="10"/>
      <c r="B77" s="10"/>
      <c r="C77" s="10"/>
    </row>
    <row r="78" spans="1:3" x14ac:dyDescent="0.35">
      <c r="A78" s="10"/>
      <c r="B78" s="10"/>
      <c r="C78" s="10"/>
    </row>
    <row r="79" spans="1:3" ht="13.9" x14ac:dyDescent="0.4">
      <c r="A79" s="4" t="s">
        <v>52</v>
      </c>
      <c r="B79" s="4" t="s">
        <v>53</v>
      </c>
    </row>
    <row r="80" spans="1:3" x14ac:dyDescent="0.35">
      <c r="A80" t="s">
        <v>54</v>
      </c>
      <c r="B80" s="3">
        <f>AVERAGE(Analysis!K2:K458)</f>
        <v>16.623632385120349</v>
      </c>
    </row>
    <row r="81" spans="1:3" x14ac:dyDescent="0.35">
      <c r="A81" t="s">
        <v>55</v>
      </c>
      <c r="B81" s="3">
        <f>AVERAGE(Analysis!L2:L458)</f>
        <v>13.070021881838075</v>
      </c>
    </row>
    <row r="82" spans="1:3" x14ac:dyDescent="0.35">
      <c r="A82" t="s">
        <v>56</v>
      </c>
      <c r="B82" s="3">
        <f>AVERAGE(Analysis!M2:M458)</f>
        <v>170.07002188183807</v>
      </c>
    </row>
    <row r="83" spans="1:3" x14ac:dyDescent="0.35">
      <c r="A83" t="s">
        <v>57</v>
      </c>
      <c r="B83" s="3">
        <f>AVERAGE(Analysis!N2:N458)</f>
        <v>995.28227571115974</v>
      </c>
    </row>
    <row r="84" spans="1:3" x14ac:dyDescent="0.35">
      <c r="B84" s="3"/>
    </row>
    <row r="85" spans="1:3" x14ac:dyDescent="0.35">
      <c r="A85" t="s">
        <v>58</v>
      </c>
      <c r="B85" s="3">
        <f>B80+B81+B82</f>
        <v>199.76367614879649</v>
      </c>
    </row>
    <row r="86" spans="1:3" x14ac:dyDescent="0.35">
      <c r="A86" t="s">
        <v>59</v>
      </c>
      <c r="B86" s="3">
        <f>B83/B85</f>
        <v>4.982298558471717</v>
      </c>
    </row>
    <row r="87" spans="1:3" ht="16.899999999999999" customHeight="1" x14ac:dyDescent="0.35">
      <c r="A87" t="s">
        <v>60</v>
      </c>
      <c r="B87" s="7">
        <f>(B83-B85)/B85</f>
        <v>3.9822985584717174</v>
      </c>
    </row>
    <row r="89" spans="1:3" ht="13.9" x14ac:dyDescent="0.35">
      <c r="A89" s="9" t="s">
        <v>62</v>
      </c>
      <c r="B89" s="9"/>
    </row>
    <row r="90" spans="1:3" x14ac:dyDescent="0.35">
      <c r="A90" s="10" t="s">
        <v>70</v>
      </c>
      <c r="B90" s="10"/>
      <c r="C90" s="10"/>
    </row>
    <row r="91" spans="1:3" x14ac:dyDescent="0.35">
      <c r="A91" s="10"/>
      <c r="B91" s="10"/>
      <c r="C91" s="10"/>
    </row>
    <row r="92" spans="1:3" x14ac:dyDescent="0.35">
      <c r="A92" s="10"/>
      <c r="B92" s="10"/>
      <c r="C92" s="10"/>
    </row>
    <row r="93" spans="1:3" ht="13.9" x14ac:dyDescent="0.4">
      <c r="A93" s="4" t="s">
        <v>16</v>
      </c>
      <c r="B93" s="4" t="s">
        <v>17</v>
      </c>
    </row>
    <row r="94" spans="1:3" x14ac:dyDescent="0.35">
      <c r="A94" t="s">
        <v>63</v>
      </c>
      <c r="B94" s="3">
        <v>6.5324054246966501</v>
      </c>
    </row>
    <row r="95" spans="1:3" x14ac:dyDescent="0.35">
      <c r="A95" t="s">
        <v>65</v>
      </c>
      <c r="B95" s="3">
        <v>13.183333333333334</v>
      </c>
    </row>
    <row r="96" spans="1:3" x14ac:dyDescent="0.35">
      <c r="A96" t="s">
        <v>64</v>
      </c>
      <c r="B96" s="3">
        <v>0.1</v>
      </c>
    </row>
    <row r="97" spans="1:3" x14ac:dyDescent="0.35">
      <c r="A97" t="s">
        <v>66</v>
      </c>
      <c r="B97" s="3">
        <v>7.0166666666666666</v>
      </c>
    </row>
    <row r="99" spans="1:3" x14ac:dyDescent="0.35">
      <c r="A99" t="s">
        <v>67</v>
      </c>
      <c r="B99">
        <v>147</v>
      </c>
    </row>
    <row r="100" spans="1:3" x14ac:dyDescent="0.35">
      <c r="A100" t="s">
        <v>68</v>
      </c>
      <c r="B100">
        <v>188</v>
      </c>
    </row>
    <row r="101" spans="1:3" x14ac:dyDescent="0.35">
      <c r="A101" t="s">
        <v>69</v>
      </c>
      <c r="B101">
        <v>132</v>
      </c>
    </row>
    <row r="103" spans="1:3" ht="13.9" x14ac:dyDescent="0.35">
      <c r="A103" s="9" t="s">
        <v>71</v>
      </c>
      <c r="B103" s="9"/>
    </row>
    <row r="104" spans="1:3" x14ac:dyDescent="0.35">
      <c r="A104" s="10" t="s">
        <v>72</v>
      </c>
      <c r="B104" s="10"/>
      <c r="C104" s="10"/>
    </row>
    <row r="105" spans="1:3" x14ac:dyDescent="0.35">
      <c r="A105" s="10"/>
      <c r="B105" s="10"/>
      <c r="C105" s="10"/>
    </row>
    <row r="106" spans="1:3" x14ac:dyDescent="0.35">
      <c r="A106" s="10"/>
      <c r="B106" s="10"/>
      <c r="C106" s="10"/>
    </row>
    <row r="107" spans="1:3" ht="13.9" x14ac:dyDescent="0.4">
      <c r="A107" s="4"/>
      <c r="B107" s="4"/>
    </row>
  </sheetData>
  <mergeCells count="15">
    <mergeCell ref="A1:C1"/>
    <mergeCell ref="A2:B2"/>
    <mergeCell ref="A3:C5"/>
    <mergeCell ref="A22:B22"/>
    <mergeCell ref="A104:C106"/>
    <mergeCell ref="A23:C25"/>
    <mergeCell ref="A32:B32"/>
    <mergeCell ref="A33:C35"/>
    <mergeCell ref="A45:B45"/>
    <mergeCell ref="A46:C48"/>
    <mergeCell ref="A75:B75"/>
    <mergeCell ref="A76:C78"/>
    <mergeCell ref="A89:B89"/>
    <mergeCell ref="A90:C92"/>
    <mergeCell ref="A103:B103"/>
  </mergeCells>
  <phoneticPr fontId="18"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77E9E-17BC-41F1-B163-8726C7CC58D6}">
  <sheetPr>
    <pageSetUpPr autoPageBreaks="0"/>
  </sheetPr>
  <dimension ref="A1:U3"/>
  <sheetViews>
    <sheetView showGridLines="0" zoomScale="35" zoomScaleNormal="100" workbookViewId="0">
      <selection activeCell="AI32" sqref="AI32"/>
    </sheetView>
  </sheetViews>
  <sheetFormatPr defaultRowHeight="13.5" x14ac:dyDescent="0.35"/>
  <sheetData>
    <row r="1" spans="1:21" ht="13.5" customHeight="1" x14ac:dyDescent="0.35">
      <c r="A1" s="12" t="s">
        <v>74</v>
      </c>
      <c r="B1" s="12"/>
      <c r="C1" s="12"/>
      <c r="D1" s="12"/>
      <c r="E1" s="12"/>
      <c r="F1" s="12"/>
      <c r="G1" s="12"/>
      <c r="H1" s="12"/>
      <c r="I1" s="12"/>
      <c r="J1" s="12"/>
      <c r="K1" s="12"/>
      <c r="L1" s="12"/>
      <c r="M1" s="12"/>
      <c r="N1" s="12"/>
      <c r="O1" s="12"/>
      <c r="P1" s="12"/>
      <c r="Q1" s="12"/>
      <c r="R1" s="12"/>
      <c r="S1" s="12"/>
      <c r="T1" s="12"/>
      <c r="U1" s="12"/>
    </row>
    <row r="2" spans="1:21" ht="19.149999999999999" customHeight="1" x14ac:dyDescent="0.35">
      <c r="A2" s="12"/>
      <c r="B2" s="12"/>
      <c r="C2" s="12"/>
      <c r="D2" s="12"/>
      <c r="E2" s="12"/>
      <c r="F2" s="12"/>
      <c r="G2" s="12"/>
      <c r="H2" s="12"/>
      <c r="I2" s="12"/>
      <c r="J2" s="12"/>
      <c r="K2" s="12"/>
      <c r="L2" s="12"/>
      <c r="M2" s="12"/>
      <c r="N2" s="12"/>
      <c r="O2" s="12"/>
      <c r="P2" s="12"/>
      <c r="Q2" s="12"/>
      <c r="R2" s="12"/>
      <c r="S2" s="12"/>
      <c r="T2" s="12"/>
      <c r="U2" s="12"/>
    </row>
    <row r="3" spans="1:21" ht="25.15" customHeight="1" x14ac:dyDescent="0.45">
      <c r="A3" s="13" t="s">
        <v>75</v>
      </c>
      <c r="B3" s="13"/>
      <c r="C3" s="13"/>
      <c r="D3" s="13"/>
      <c r="E3" s="13"/>
      <c r="F3" s="13"/>
      <c r="G3" s="13"/>
      <c r="H3" s="13"/>
      <c r="I3" s="13"/>
      <c r="J3" s="13"/>
      <c r="K3" s="13"/>
      <c r="L3" s="13"/>
      <c r="M3" s="13"/>
      <c r="N3" s="13"/>
      <c r="O3" s="13"/>
      <c r="P3" s="13"/>
      <c r="Q3" s="13"/>
      <c r="R3" s="13"/>
      <c r="S3" s="13"/>
      <c r="T3" s="13"/>
      <c r="U3" s="13"/>
    </row>
  </sheetData>
  <mergeCells count="2">
    <mergeCell ref="A1:U2"/>
    <mergeCell ref="A3:U3"/>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dailyActivity_merged</vt:lpstr>
      <vt:lpstr>dailyActivity</vt:lpstr>
      <vt:lpstr>Analysis</vt:lpstr>
      <vt:lpstr>Analysis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Wadha Alhajri</dc:creator>
  <cp:lastModifiedBy>Wadha Alhajri</cp:lastModifiedBy>
  <dcterms:created xsi:type="dcterms:W3CDTF">2026-09-08T17:53:08Z</dcterms:created>
  <dcterms:modified xsi:type="dcterms:W3CDTF">2026-09-23T23:48:03Z</dcterms:modified>
</cp:coreProperties>
</file>